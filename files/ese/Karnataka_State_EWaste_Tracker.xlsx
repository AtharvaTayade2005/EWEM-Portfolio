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rnav\Desktop\"/>
    </mc:Choice>
  </mc:AlternateContent>
  <xr:revisionPtr revIDLastSave="0" documentId="8_{8D329A70-DFF7-485E-A33C-6432C7054EA4}" xr6:coauthVersionLast="47" xr6:coauthVersionMax="47" xr10:uidLastSave="{00000000-0000-0000-0000-000000000000}"/>
  <bookViews>
    <workbookView xWindow="-108" yWindow="-108" windowWidth="23256" windowHeight="12456" tabRatio="500" firstSheet="3" activeTab="5" xr2:uid="{00000000-000D-0000-FFFF-FFFF00000000}"/>
  </bookViews>
  <sheets>
    <sheet name="0_Scorecard" sheetId="1" r:id="rId1"/>
    <sheet name="Instructions" sheetId="2" r:id="rId2"/>
    <sheet name="1_Generation_Inventory" sheetId="3" r:id="rId3"/>
    <sheet name="2_Collection_Log" sheetId="4" r:id="rId4"/>
    <sheet name="3_Recycling_Infrastructure" sheetId="5" r:id="rId5"/>
    <sheet name="4_Compliance_Tracker" sheetId="6" r:id="rId6"/>
    <sheet name="5_Informal_Sector_Hotspots" sheetId="7" r:id="rId7"/>
    <sheet name="6_Env_Health_Monitoring" sheetId="8" r:id="rId8"/>
    <sheet name="7_Awareness_Programs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8" i="5" l="1"/>
  <c r="F12" i="1"/>
  <c r="G12" i="1" s="1"/>
  <c r="H12" i="1" s="1"/>
  <c r="C30" i="9"/>
  <c r="C29" i="9"/>
  <c r="C28" i="9"/>
  <c r="F16" i="1" s="1"/>
  <c r="G16" i="1" s="1"/>
  <c r="H16" i="1" s="1"/>
  <c r="C30" i="8"/>
  <c r="C29" i="8"/>
  <c r="C28" i="8"/>
  <c r="F15" i="1" s="1"/>
  <c r="G15" i="1" s="1"/>
  <c r="H15" i="1" s="1"/>
  <c r="C31" i="7"/>
  <c r="C30" i="7"/>
  <c r="C29" i="7"/>
  <c r="C28" i="7"/>
  <c r="F14" i="1" s="1"/>
  <c r="G14" i="1" s="1"/>
  <c r="H14" i="1" s="1"/>
  <c r="C33" i="6"/>
  <c r="C32" i="6"/>
  <c r="C31" i="6"/>
  <c r="C30" i="6"/>
  <c r="C29" i="6"/>
  <c r="C28" i="6"/>
  <c r="G28" i="5"/>
  <c r="E28" i="5"/>
  <c r="G38" i="4"/>
  <c r="F38" i="4"/>
  <c r="E38" i="4"/>
  <c r="D38" i="4"/>
  <c r="C31" i="4"/>
  <c r="C30" i="4"/>
  <c r="C29" i="4"/>
  <c r="C28" i="4"/>
  <c r="C27" i="4"/>
  <c r="C26" i="4"/>
  <c r="C25" i="4"/>
  <c r="C15" i="4"/>
  <c r="C14" i="4"/>
  <c r="C13" i="4"/>
  <c r="C7" i="4"/>
  <c r="C6" i="4"/>
  <c r="I38" i="3"/>
  <c r="H38" i="3"/>
  <c r="G38" i="3"/>
  <c r="F38" i="3"/>
  <c r="E38" i="3"/>
  <c r="D38" i="3"/>
  <c r="C38" i="3"/>
  <c r="J36" i="3"/>
  <c r="C36" i="4" s="1"/>
  <c r="J35" i="3"/>
  <c r="C35" i="4" s="1"/>
  <c r="J34" i="3"/>
  <c r="C34" i="4" s="1"/>
  <c r="J33" i="3"/>
  <c r="C33" i="4" s="1"/>
  <c r="J32" i="3"/>
  <c r="C32" i="4" s="1"/>
  <c r="J31" i="3"/>
  <c r="J30" i="3"/>
  <c r="J29" i="3"/>
  <c r="J28" i="3"/>
  <c r="J27" i="3"/>
  <c r="J26" i="3"/>
  <c r="J25" i="3"/>
  <c r="J24" i="3"/>
  <c r="C24" i="4" s="1"/>
  <c r="J23" i="3"/>
  <c r="C23" i="4" s="1"/>
  <c r="J22" i="3"/>
  <c r="C22" i="4" s="1"/>
  <c r="J21" i="3"/>
  <c r="C21" i="4" s="1"/>
  <c r="J20" i="3"/>
  <c r="C20" i="4" s="1"/>
  <c r="J19" i="3"/>
  <c r="C19" i="4" s="1"/>
  <c r="J18" i="3"/>
  <c r="C18" i="4" s="1"/>
  <c r="J17" i="3"/>
  <c r="C17" i="4" s="1"/>
  <c r="J16" i="3"/>
  <c r="C16" i="4" s="1"/>
  <c r="J15" i="3"/>
  <c r="J14" i="3"/>
  <c r="J13" i="3"/>
  <c r="J12" i="3"/>
  <c r="C12" i="4" s="1"/>
  <c r="J11" i="3"/>
  <c r="C11" i="4" s="1"/>
  <c r="J10" i="3"/>
  <c r="C10" i="4" s="1"/>
  <c r="J9" i="3"/>
  <c r="C9" i="4" s="1"/>
  <c r="J8" i="3"/>
  <c r="C8" i="4" s="1"/>
  <c r="J7" i="3"/>
  <c r="J6" i="3"/>
  <c r="D17" i="1"/>
  <c r="F13" i="1"/>
  <c r="G13" i="1" s="1"/>
  <c r="H13" i="1" s="1"/>
  <c r="F10" i="1"/>
  <c r="G10" i="1" s="1"/>
  <c r="H10" i="1" s="1"/>
  <c r="C38" i="4" l="1"/>
  <c r="F11" i="1" s="1"/>
  <c r="G11" i="1" s="1"/>
  <c r="H11" i="1" s="1"/>
  <c r="H17" i="1" s="1"/>
  <c r="J38" i="3"/>
  <c r="F5" i="1" l="1"/>
  <c r="D5" i="1"/>
</calcChain>
</file>

<file path=xl/sharedStrings.xml><?xml version="1.0" encoding="utf-8"?>
<sst xmlns="http://schemas.openxmlformats.org/spreadsheetml/2006/main" count="474" uniqueCount="317">
  <si>
    <t>State E-Waste Management Scorecard</t>
  </si>
  <si>
    <t>Live score out of 100, calculated from the 7 data sheets. Set benchmarks in the yellow 'Target/Benchmark' cells.</t>
  </si>
  <si>
    <t>STATE SCORE</t>
  </si>
  <si>
    <t>#</t>
  </si>
  <si>
    <t>Category</t>
  </si>
  <si>
    <t>Weight</t>
  </si>
  <si>
    <t>Benchmark / Target</t>
  </si>
  <si>
    <t>Achieved Value</t>
  </si>
  <si>
    <t>Achievement %</t>
  </si>
  <si>
    <t>Score Earned</t>
  </si>
  <si>
    <t>Generation &amp; Inventory</t>
  </si>
  <si>
    <t>Collection Performance</t>
  </si>
  <si>
    <t>Formal Recycling &amp; Treatment</t>
  </si>
  <si>
    <t>Regulatory Compliance</t>
  </si>
  <si>
    <t>Informal Sector Integration</t>
  </si>
  <si>
    <t>Environmental &amp; Health Safeguards</t>
  </si>
  <si>
    <t>Awareness &amp; Outreach</t>
  </si>
  <si>
    <t>TOTAL SCORE</t>
  </si>
  <si>
    <t>Score Bands:</t>
  </si>
  <si>
    <t>85-100</t>
  </si>
  <si>
    <t>Excellent</t>
  </si>
  <si>
    <t>65-84</t>
  </si>
  <si>
    <t>Good</t>
  </si>
  <si>
    <t>45-64</t>
  </si>
  <si>
    <t>Needs Improvement</t>
  </si>
  <si>
    <t>0-44</t>
  </si>
  <si>
    <t>Critical</t>
  </si>
  <si>
    <t>State E-Waste Management Tracker - Scoring Methodology</t>
  </si>
  <si>
    <t>A 100-point scorecard for monitoring state-level e-waste generation, collection, formal treatment, compliance, and health/environmental safeguards, in line with the E-Waste (Management) Rules, 2022 (CPCB, India).</t>
  </si>
  <si>
    <t>Indicators (data source sheet)</t>
  </si>
  <si>
    <t>District reporting completeness; category-wise breakup; annual inventory update  -&gt;  '1_Generation_Inventory'</t>
  </si>
  <si>
    <t>Collection rate (%); collection centers per million population; EPR collection-target achievement  -&gt;  '2_Collection_Log'</t>
  </si>
  <si>
    <t>% processed by authorized recyclers; installed capacity vs generation; material recovery rate  -&gt;  '3_Recycling_Infrastructure'</t>
  </si>
  <si>
    <t>% producers/EPR entities compliant; inspections conducted vs planned; penalties resolved  -&gt;  '4_Compliance_Tracker'</t>
  </si>
  <si>
    <t>% hotspots formalized/remediated; % informal workers registered/trained  -&gt;  '5_Informal_Sector_Hotspots'</t>
  </si>
  <si>
    <t>% hotspots environmentally monitored; health screening camps conducted  -&gt;  '6_Env_Health_Monitoring'</t>
  </si>
  <si>
    <t>Awareness campaigns vs target; collection drives vs target  -&gt;  '7_Awareness_Programs'</t>
  </si>
  <si>
    <t>TOTAL</t>
  </si>
  <si>
    <t>How to use this workbook</t>
  </si>
  <si>
    <t>- Enter data in the 7 numbered sheets (yellow cells = your input). Each sheet has one grey example row - replace/delete it.</t>
  </si>
  <si>
    <t>- Set your benchmarks/targets on the '0_Scorecard' sheet (yellow cells) - e.g. collection centers per million population, EPR targets, inspection/campaign targets.</t>
  </si>
  <si>
    <t>- The '0_Scorecard' sheet pulls live figures from all 7 sheets and computes the state's score out of 100 automatically. Do not overwrite formula cells.</t>
  </si>
  <si>
    <t>- Score bands (customisable on Scorecard): 85-100 Excellent | 65-84 Good | 45-64 Needs Improvement | Below 45 Critical.</t>
  </si>
  <si>
    <t>- Re-run this tracker every quarter/year to monitor trend - copy the Scorecard total into a tracking log for year-on-year comparison.</t>
  </si>
  <si>
    <t>Generation Inventory</t>
  </si>
  <si>
    <t>One row per district. Category-wise breakup based on E-Waste (Management) Rules, 2022, Schedule I (simplified).</t>
  </si>
  <si>
    <t>District</t>
  </si>
  <si>
    <t>Population</t>
  </si>
  <si>
    <t>IT &amp; Telecom (kg)</t>
  </si>
  <si>
    <t>Consumer Electrical &amp; Electronics (kg)</t>
  </si>
  <si>
    <t>Large &amp; Small Equipment (kg)</t>
  </si>
  <si>
    <t>Lighting Equipment (kg)</t>
  </si>
  <si>
    <t>Batteries (kg)</t>
  </si>
  <si>
    <t>Other (kg)</t>
  </si>
  <si>
    <t>Total Generated (kg)</t>
  </si>
  <si>
    <t>Date Last Updated</t>
  </si>
  <si>
    <t>Bengaluru Urban</t>
  </si>
  <si>
    <t>31-10-2024</t>
  </si>
  <si>
    <t>Bengaluru Rural</t>
  </si>
  <si>
    <t>Mysuru</t>
  </si>
  <si>
    <t>Tumakuru</t>
  </si>
  <si>
    <t>Kolar</t>
  </si>
  <si>
    <t>Dakshina Kannada</t>
  </si>
  <si>
    <t>Belagavi</t>
  </si>
  <si>
    <t>Ballari</t>
  </si>
  <si>
    <t>Shivamogga</t>
  </si>
  <si>
    <t>Kalaburagi</t>
  </si>
  <si>
    <t>Chitradurga</t>
  </si>
  <si>
    <t>Hassan</t>
  </si>
  <si>
    <t>Raichur</t>
  </si>
  <si>
    <t>Uttara Kannada</t>
  </si>
  <si>
    <t>Udupi</t>
  </si>
  <si>
    <t>Dharwad</t>
  </si>
  <si>
    <t>Mandya</t>
  </si>
  <si>
    <t>Chikkamagaluru</t>
  </si>
  <si>
    <t>Vijayapura</t>
  </si>
  <si>
    <t>Davanagere</t>
  </si>
  <si>
    <t>Bagalkote</t>
  </si>
  <si>
    <t>Bidar</t>
  </si>
  <si>
    <t>Koppal</t>
  </si>
  <si>
    <t>Chamarajanagar</t>
  </si>
  <si>
    <t>Ramanagara</t>
  </si>
  <si>
    <t>Chikkaballapura</t>
  </si>
  <si>
    <t>Yadgir</t>
  </si>
  <si>
    <t>Gadag</t>
  </si>
  <si>
    <t>Haveri</t>
  </si>
  <si>
    <t>Kodagu</t>
  </si>
  <si>
    <t>Vijayanagara</t>
  </si>
  <si>
    <t>STATE TOTAL</t>
  </si>
  <si>
    <t>Collection Log</t>
  </si>
  <si>
    <t>One row per district. 'Generated' auto-pulls from Sheet 1 by district name - keep district names identical across sheets.</t>
  </si>
  <si>
    <t>Generated (kg) [from Sheet 1]</t>
  </si>
  <si>
    <t>Collected (kg)</t>
  </si>
  <si>
    <t>Registered Collection Centers</t>
  </si>
  <si>
    <t>EPR Collection Target (kg)</t>
  </si>
  <si>
    <t>EPR Collection Achieved (kg)</t>
  </si>
  <si>
    <t>Remarks</t>
  </si>
  <si>
    <t>High corporate take-back compliance via PROs and direct contracts</t>
  </si>
  <si>
    <t>Industrial collection active in Dobbspet and Peenya corridors</t>
  </si>
  <si>
    <t>Aptus E-Waste facility operating; partial municipal segregation</t>
  </si>
  <si>
    <t>Sheeltron facility hub active in Vasanthanarasapura</t>
  </si>
  <si>
    <t>Cerebra plant intake active; localized retail collection low</t>
  </si>
  <si>
    <t>Port/coastal industrial scrap; limited retail collection nodes</t>
  </si>
  <si>
    <t>Secondary scrap markets absorb tier-2 household flow</t>
  </si>
  <si>
    <t>Mining/industrial e-waste collected via bulk contracts</t>
  </si>
  <si>
    <t>Informal aggregators intercept &gt;90% of household waste</t>
  </si>
  <si>
    <t>Limited collection infrastructure; long transport routes</t>
  </si>
  <si>
    <t>Intercepted by informal scrap dealers en route to Bengaluru</t>
  </si>
  <si>
    <t>Periodic collection drives conducted by local NGOs</t>
  </si>
  <si>
    <t>Industrial e-scrap managed through corporate channels</t>
  </si>
  <si>
    <t>Coastal collection points sparse; routed to Hubballi dealers</t>
  </si>
  <si>
    <t>Institutional collection active across university campuses</t>
  </si>
  <si>
    <t>Hubballi-Dharwad twin city scrap trade absorbs volume</t>
  </si>
  <si>
    <t>High leakage to informal scrap dealers along Mysuru corridor</t>
  </si>
  <si>
    <t>Limited collection drives; low consumer awareness</t>
  </si>
  <si>
    <t>No dedicated formal collection centers; informal outflow</t>
  </si>
  <si>
    <t>Textile/industrial sector scrap partially routed to Bengaluru</t>
  </si>
  <si>
    <t>Informal channels process &gt;95% of generated e-scrap</t>
  </si>
  <si>
    <t>High cross-border leakage to Hyderabad informal hubs</t>
  </si>
  <si>
    <t>Lacks registered collection points; municipal mixing</t>
  </si>
  <si>
    <t>Rural retail waste mixed into general MSW dumpsites</t>
  </si>
  <si>
    <t>Proximity to Bengaluru allows partial formal haulage</t>
  </si>
  <si>
    <t>Industrial park scrap routed to KIADB Kolar facility</t>
  </si>
  <si>
    <t>Minimal formal intake; infrastructure deficit</t>
  </si>
  <si>
    <t>Informal scrap collectors process retail consumer equipment</t>
  </si>
  <si>
    <t>Agricultural and lighting waste uncollected formally</t>
  </si>
  <si>
    <t>E-waste drives managed periodically by local schools</t>
  </si>
  <si>
    <t>Developing district; establishing KSPCB collection nodes</t>
  </si>
  <si>
    <t>Recycling Infrastructure</t>
  </si>
  <si>
    <t>One row per CPCB/SPCB-authorized recycler or dismantler operating in the state.</t>
  </si>
  <si>
    <t>Recycler / Dismantler Name</t>
  </si>
  <si>
    <t>CPCB/SPCB Authorization No.</t>
  </si>
  <si>
    <t>Installed Capacity (tonnes/yr)</t>
  </si>
  <si>
    <t>Quantity Processed This Year (tonnes)</t>
  </si>
  <si>
    <t>Material Recovery Rate (%)</t>
  </si>
  <si>
    <t>Authorization Valid Till</t>
  </si>
  <si>
    <t>Cerebra Integrated Technologies Ltd.</t>
  </si>
  <si>
    <t>KSPCB/EW/2018/AUT-0012</t>
  </si>
  <si>
    <t>31-03-2027</t>
  </si>
  <si>
    <t>TES-AMM India Pvt. Ltd.</t>
  </si>
  <si>
    <t>KSPCB/EW/2017/AUT-0045</t>
  </si>
  <si>
    <t>31-12-2026</t>
  </si>
  <si>
    <t>E-Parisaraa Pvt. Ltd.</t>
  </si>
  <si>
    <t>KSPCB/EW/2005/AUT-0001</t>
  </si>
  <si>
    <t>30-09-2027</t>
  </si>
  <si>
    <t>KG Nandini Enterprises</t>
  </si>
  <si>
    <t>KSPCB/EW/2016/AUT-0089</t>
  </si>
  <si>
    <t>31-08-2026</t>
  </si>
  <si>
    <t>Sheeltron Digital Systems Pvt. Ltd.</t>
  </si>
  <si>
    <t>KSPCB/EW/2021/AUT-0156</t>
  </si>
  <si>
    <t>31-03-2028</t>
  </si>
  <si>
    <t>Ash Recyclers</t>
  </si>
  <si>
    <t>KSPCB/EW/2008/AUT-0023</t>
  </si>
  <si>
    <t>30-06-2025</t>
  </si>
  <si>
    <t>Aptus E-Waste Recycling Pvt. Ltd.</t>
  </si>
  <si>
    <t>KSPCB/EW/2019/AUT-0112</t>
  </si>
  <si>
    <t>31-10-2027</t>
  </si>
  <si>
    <t>Eco-Raksha Computer Services Pvt. Ltd.</t>
  </si>
  <si>
    <t>KSPCB/EW/2012/AUT-0067</t>
  </si>
  <si>
    <t>31-01-2026</t>
  </si>
  <si>
    <t>E-Warrd Company</t>
  </si>
  <si>
    <t>KSPCB/EW/2015/AUT-0098</t>
  </si>
  <si>
    <t>31-05-2026</t>
  </si>
  <si>
    <t>Nishanth Technologies</t>
  </si>
  <si>
    <t>KSPCB/EW/2014/AUT-0078</t>
  </si>
  <si>
    <t>30-11-2025</t>
  </si>
  <si>
    <t>Other 44 Operational Facilities</t>
  </si>
  <si>
    <t>Various Authorized Lists</t>
  </si>
  <si>
    <t>Various</t>
  </si>
  <si>
    <t>Compliance Tracker</t>
  </si>
  <si>
    <t>One row per registered producer / EPR entity operating in the state.</t>
  </si>
  <si>
    <t>Producer / EPR Entity</t>
  </si>
  <si>
    <t>EPR Registration No.</t>
  </si>
  <si>
    <t>Compliance Status</t>
  </si>
  <si>
    <t>Inspection Planned (Y/N)</t>
  </si>
  <si>
    <t>Inspection Conducted (Y/N)</t>
  </si>
  <si>
    <t>Penalty / Show-Cause Issued (Y/N)</t>
  </si>
  <si>
    <t>Penalty Resolved (Y/N)</t>
  </si>
  <si>
    <t>Dell International Services India Pvt. Ltd.</t>
  </si>
  <si>
    <t>CPCB/EPR/2023/PRO-00124</t>
  </si>
  <si>
    <t>Compliant</t>
  </si>
  <si>
    <t>Yes</t>
  </si>
  <si>
    <t>No</t>
  </si>
  <si>
    <t>N/A</t>
  </si>
  <si>
    <t>Exceeded annual EPR collection target via authorized PROs</t>
  </si>
  <si>
    <t>HP India Sales Pvt. Ltd.</t>
  </si>
  <si>
    <t>CPCB/EPR/2023/PRO-00089</t>
  </si>
  <si>
    <t>Closed-loop take-back system verified via audit logs</t>
  </si>
  <si>
    <t>Wipro Enterprises Pvt. Ltd.</t>
  </si>
  <si>
    <t>CPCB/EPR/2023/PRO-00456</t>
  </si>
  <si>
    <t>Corporate IT asset disposition verified via formal returns</t>
  </si>
  <si>
    <t>Infosys Ltd. (Bulk Consumer)</t>
  </si>
  <si>
    <t>KSPCB/BC/2022/REG-00012</t>
  </si>
  <si>
    <t>100% formal disposal; certified data destruction records</t>
  </si>
  <si>
    <t>Acer India Pvt. Ltd.</t>
  </si>
  <si>
    <t>CPCB/EPR/2023/PRO-00312</t>
  </si>
  <si>
    <t>Non-Compliant</t>
  </si>
  <si>
    <t>Pending</t>
  </si>
  <si>
    <t>Issued show-cause notice for 18% target shortfall</t>
  </si>
  <si>
    <t>Lenovo India Pvt. Ltd.</t>
  </si>
  <si>
    <t>CPCB/EPR/2023/PRO-00215</t>
  </si>
  <si>
    <t>Target achieved through authorized regional recyclers</t>
  </si>
  <si>
    <t>Regional OEM Assembly Enterprise A</t>
  </si>
  <si>
    <t>KSPCB/EPR/2024/ST-00045</t>
  </si>
  <si>
    <t>Paid fine of ₹1.5 lakh for delayed Form 4 return filing</t>
  </si>
  <si>
    <t>Regional OEM Assembly Enterprise B</t>
  </si>
  <si>
    <t>KSPCB/EPR/2024/ST-00078</t>
  </si>
  <si>
    <t>Under Review</t>
  </si>
  <si>
    <t>Pending physical inspection and inventory verification</t>
  </si>
  <si>
    <t>Total Registered</t>
  </si>
  <si>
    <t>Inspections Planned</t>
  </si>
  <si>
    <t>Inspections Conducted</t>
  </si>
  <si>
    <t>Penalties Issued</t>
  </si>
  <si>
    <t>Penalties Resolved</t>
  </si>
  <si>
    <t>Informal Sector Hotspots</t>
  </si>
  <si>
    <t>One row per known informal e-waste recycling hotspot/cluster in the state.</t>
  </si>
  <si>
    <t>Hotspot / Informal Cluster Name</t>
  </si>
  <si>
    <t>Status</t>
  </si>
  <si>
    <t>Estimated Informal Workers</t>
  </si>
  <si>
    <t>Workers Registered / Trained</t>
  </si>
  <si>
    <t>Formalization Action Taken</t>
  </si>
  <si>
    <t>Nayandahalli Scrap Yard Cluster</t>
  </si>
  <si>
    <t>Unorganized</t>
  </si>
  <si>
    <t>Skill training via GIZ/Saahas; collection hub proposed</t>
  </si>
  <si>
    <t>Primary hub for PCB desoldering, wire burning, copper recovery</t>
  </si>
  <si>
    <t>Goripalya (Gowripalya) Cluster</t>
  </si>
  <si>
    <t>Health camps held; enforcement drives conducted by SPCB</t>
  </si>
  <si>
    <t>Widespread manual acid leaching for gold recovery</t>
  </si>
  <si>
    <t>Jolly Mohalla Electronic Market</t>
  </si>
  <si>
    <t>Partially Formalized</t>
  </si>
  <si>
    <t>Integrated as collection aggregators for authorized recyclers</t>
  </si>
  <si>
    <t>Major trading center for reusable computer parts and panels</t>
  </si>
  <si>
    <t>Old Market Scrap Yard</t>
  </si>
  <si>
    <t>Partial registration drive; preliminary site monitoring</t>
  </si>
  <si>
    <t>Open burning of insulated wiring and casing plastics</t>
  </si>
  <si>
    <t>Hubballi Twin-City Scrap Hub</t>
  </si>
  <si>
    <t>None to date; scheduled for future SPCB inspection</t>
  </si>
  <si>
    <t>Regional collection point supplying interstate informal networks</t>
  </si>
  <si>
    <t>Mysuru Mandi Mohalla Cluster</t>
  </si>
  <si>
    <t>NGO outreach conducted; basic awareness sessions held</t>
  </si>
  <si>
    <t>Dismantling of small appliances and CRT televisions</t>
  </si>
  <si>
    <t>Total Hotspots</t>
  </si>
  <si>
    <t>Formalized/Remediated</t>
  </si>
  <si>
    <t>Estimated Workers (Total)</t>
  </si>
  <si>
    <t>Workers Registered/Trained (Total)</t>
  </si>
  <si>
    <t>Env Health Monitoring</t>
  </si>
  <si>
    <t>One row per environmental monitoring visit or health camp conducted at a hotspot.</t>
  </si>
  <si>
    <t>Site / Hotspot Monitored</t>
  </si>
  <si>
    <t>Monitoring Type</t>
  </si>
  <si>
    <t>Date</t>
  </si>
  <si>
    <t>Result</t>
  </si>
  <si>
    <t>Health Camp Conducted (Y/N)</t>
  </si>
  <si>
    <t>Beneficiaries Screened</t>
  </si>
  <si>
    <t>Nayandahalli Industrial Area</t>
  </si>
  <si>
    <t>Soil + Groundwater</t>
  </si>
  <si>
    <t>14-05-2024</t>
  </si>
  <si>
    <t>Exceeds limits (Pb, Cd, Cr6+)</t>
  </si>
  <si>
    <t>Soil lead levels exceed 650 mg/kg; SPCB plan issued</t>
  </si>
  <si>
    <t>Goripalya Scrap Cluster</t>
  </si>
  <si>
    <t>Ambient Air + Water</t>
  </si>
  <si>
    <t>22-06-2024</t>
  </si>
  <si>
    <t>High airborne lead &amp; dioxins</t>
  </si>
  <si>
    <t>Elevated blood lead levels (&gt;10 µg/dL) in 34% of screened workers</t>
  </si>
  <si>
    <t>Vasanthanarasapura Corridor</t>
  </si>
  <si>
    <t>Surface Water</t>
  </si>
  <si>
    <t>10-08-2024</t>
  </si>
  <si>
    <t>Within permissible limits</t>
  </si>
  <si>
    <t>Baseline testing near Sheeltron facility; fully compliant</t>
  </si>
  <si>
    <t>Narasapura Industrial Estate</t>
  </si>
  <si>
    <t>Groundwater</t>
  </si>
  <si>
    <t>18-09-2024</t>
  </si>
  <si>
    <t>Monitoring near Cerebra automated processing plant</t>
  </si>
  <si>
    <t>Dobbspet Industrial Zone</t>
  </si>
  <si>
    <t>Soil + Effluent</t>
  </si>
  <si>
    <t>05-10-2024</t>
  </si>
  <si>
    <t>Trace metals; within norms</t>
  </si>
  <si>
    <t>Monitoring around E-Parisaraa and industrial recyclers</t>
  </si>
  <si>
    <t>Mandi Mohalla Scrap Area</t>
  </si>
  <si>
    <t>12-10-2024</t>
  </si>
  <si>
    <t>Slightly elevated copper &amp; zinc</t>
  </si>
  <si>
    <t>Follow-up testing scheduled for local urban groundwater</t>
  </si>
  <si>
    <t>Distinct Sites Monitored</t>
  </si>
  <si>
    <t>Health Camps Conducted</t>
  </si>
  <si>
    <t>Total Beneficiaries Screened</t>
  </si>
  <si>
    <t>Awareness Programs</t>
  </si>
  <si>
    <t>One row per awareness campaign, take-back scheme promotion, or collection drive conducted.</t>
  </si>
  <si>
    <t>Program Name</t>
  </si>
  <si>
    <t>Type</t>
  </si>
  <si>
    <t>Target Audience</t>
  </si>
  <si>
    <t>Participants Reached</t>
  </si>
  <si>
    <t>School E-Waste Awareness Drive</t>
  </si>
  <si>
    <t>18-04-2024</t>
  </si>
  <si>
    <t>School Collection Drive</t>
  </si>
  <si>
    <t>Students (Grades 6-12)</t>
  </si>
  <si>
    <t>Corporate Asset Disposal Workshop</t>
  </si>
  <si>
    <t>12-05-2024</t>
  </si>
  <si>
    <t>Industry Seminar</t>
  </si>
  <si>
    <t>IT/ITeS Facility Managers</t>
  </si>
  <si>
    <t>City E-Waste Take-Back Drive</t>
  </si>
  <si>
    <t>05-06-2024</t>
  </si>
  <si>
    <t>RWA Take-Back Drive</t>
  </si>
  <si>
    <t>Apartment Associations</t>
  </si>
  <si>
    <t>Mysuru Urban E-Waste Initiative</t>
  </si>
  <si>
    <t>15-07-2024</t>
  </si>
  <si>
    <t>Municipal Collection Drive</t>
  </si>
  <si>
    <t>General Public &amp; Retailers</t>
  </si>
  <si>
    <t>Tier-2 E-Waste Outreach Campaign</t>
  </si>
  <si>
    <t>22-08-2024</t>
  </si>
  <si>
    <t>Community Awareness</t>
  </si>
  <si>
    <t>Small Businesses &amp; Retailers</t>
  </si>
  <si>
    <t>WEEE-Recycle Awareness Program</t>
  </si>
  <si>
    <t>10-09-2024</t>
  </si>
  <si>
    <t>NGO Outreach</t>
  </si>
  <si>
    <t>Local Scrap Traders</t>
  </si>
  <si>
    <t>Total Programs Conducted</t>
  </si>
  <si>
    <t>Collection Drives (School+RWA)</t>
  </si>
  <si>
    <t>Total Participants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</si>
</sst>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10"/>
      <color rgb="FF404040"/>
      <name val="Arial"/>
      <family val="2"/>
    </font>
    <font>
      <b/>
      <sz val="12"/>
      <color rgb="FFFFFFFF"/>
      <name val="Arial"/>
      <family val="2"/>
    </font>
    <font>
      <b/>
      <sz val="28"/>
      <color rgb="FF1F4E78"/>
      <name val="Arial"/>
      <family val="2"/>
    </font>
    <font>
      <b/>
      <sz val="14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b/>
      <sz val="11"/>
      <color rgb="FF1F4E78"/>
      <name val="Arial"/>
      <family val="2"/>
    </font>
    <font>
      <sz val="10"/>
      <name val="Arial"/>
      <family val="2"/>
    </font>
    <font>
      <i/>
      <sz val="10"/>
      <color rgb="FF80808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FFF99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9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0" fillId="5" borderId="1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0" fillId="3" borderId="1" xfId="0" applyFill="1" applyBorder="1"/>
    <xf numFmtId="0" fontId="7" fillId="3" borderId="1" xfId="0" applyFont="1" applyFill="1" applyBorder="1"/>
    <xf numFmtId="0" fontId="8" fillId="0" borderId="0" xfId="0" applyFont="1"/>
    <xf numFmtId="0" fontId="9" fillId="0" borderId="0" xfId="0" applyFont="1"/>
    <xf numFmtId="0" fontId="7" fillId="0" borderId="1" xfId="0" applyFont="1" applyBorder="1"/>
    <xf numFmtId="0" fontId="10" fillId="6" borderId="1" xfId="0" applyFont="1" applyFill="1" applyBorder="1" applyAlignment="1">
      <alignment horizontal="center" vertical="center" wrapText="1"/>
    </xf>
    <xf numFmtId="165" fontId="10" fillId="6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65" fontId="9" fillId="5" borderId="1" xfId="0" applyNumberFormat="1" applyFont="1" applyFill="1" applyBorder="1" applyAlignment="1">
      <alignment horizontal="center" vertical="center" wrapText="1"/>
    </xf>
    <xf numFmtId="165" fontId="7" fillId="3" borderId="1" xfId="0" applyNumberFormat="1" applyFont="1" applyFill="1" applyBorder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3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6" customWidth="1"/>
    <col min="3" max="3" width="30" customWidth="1"/>
    <col min="4" max="4" width="10" customWidth="1"/>
    <col min="5" max="6" width="16" customWidth="1"/>
    <col min="7" max="7" width="14" customWidth="1"/>
    <col min="8" max="8" width="13" customWidth="1"/>
    <col min="9" max="9" width="10" customWidth="1"/>
  </cols>
  <sheetData>
    <row r="2" spans="1:9" ht="25.5" customHeight="1" x14ac:dyDescent="0.3">
      <c r="A2" s="8" t="s">
        <v>0</v>
      </c>
      <c r="B2" s="8"/>
      <c r="C2" s="8"/>
      <c r="D2" s="8"/>
      <c r="E2" s="8"/>
      <c r="F2" s="8"/>
      <c r="G2" s="8"/>
      <c r="H2" s="8"/>
    </row>
    <row r="3" spans="1:9" ht="15" customHeight="1" x14ac:dyDescent="0.3">
      <c r="B3" s="7" t="s">
        <v>1</v>
      </c>
      <c r="C3" s="7"/>
      <c r="D3" s="7"/>
      <c r="E3" s="7"/>
      <c r="F3" s="7"/>
      <c r="G3" s="7"/>
      <c r="H3" s="7"/>
      <c r="I3" s="7"/>
    </row>
    <row r="5" spans="1:9" ht="15" customHeight="1" x14ac:dyDescent="0.3">
      <c r="B5" s="6" t="s">
        <v>2</v>
      </c>
      <c r="C5" s="6"/>
      <c r="D5" s="5">
        <f>ROUND(H17,1)</f>
        <v>48.7</v>
      </c>
      <c r="E5" s="5"/>
      <c r="F5" s="4" t="str">
        <f>_xlfn.IFS(H17&gt;=85,"EXCELLENT",H17&gt;=65,"GOOD",H17&gt;=45,"NEEDS IMPROVEMENT",TRUE(),"CRITICAL")</f>
        <v>NEEDS IMPROVEMENT</v>
      </c>
      <c r="G5" s="4"/>
      <c r="H5" s="4"/>
      <c r="I5" s="4"/>
    </row>
    <row r="6" spans="1:9" ht="15" customHeight="1" x14ac:dyDescent="0.3">
      <c r="B6" s="6"/>
      <c r="C6" s="6"/>
      <c r="D6" s="5"/>
      <c r="E6" s="5"/>
      <c r="F6" s="4"/>
      <c r="G6" s="4"/>
      <c r="H6" s="4"/>
      <c r="I6" s="4"/>
    </row>
    <row r="7" spans="1:9" ht="15" customHeight="1" x14ac:dyDescent="0.3">
      <c r="B7" s="6"/>
      <c r="C7" s="6"/>
      <c r="D7" s="5"/>
      <c r="E7" s="5"/>
      <c r="F7" s="4"/>
      <c r="G7" s="4"/>
      <c r="H7" s="4"/>
      <c r="I7" s="4"/>
    </row>
    <row r="9" spans="1:9" ht="30" customHeight="1" x14ac:dyDescent="0.3">
      <c r="B9" s="9" t="s">
        <v>3</v>
      </c>
      <c r="C9" s="9" t="s">
        <v>4</v>
      </c>
      <c r="D9" s="9" t="s">
        <v>5</v>
      </c>
      <c r="E9" s="9" t="s">
        <v>6</v>
      </c>
      <c r="F9" s="9" t="s">
        <v>7</v>
      </c>
      <c r="G9" s="9" t="s">
        <v>8</v>
      </c>
      <c r="H9" s="9" t="s">
        <v>9</v>
      </c>
    </row>
    <row r="10" spans="1:9" ht="30" customHeight="1" x14ac:dyDescent="0.3">
      <c r="B10" s="10">
        <v>1</v>
      </c>
      <c r="C10" s="11" t="s">
        <v>10</v>
      </c>
      <c r="D10" s="10">
        <v>15</v>
      </c>
      <c r="E10" s="12">
        <v>31</v>
      </c>
      <c r="F10" s="10">
        <f>COUNTIF('1_Generation_Inventory'!C6:C36,"?*")</f>
        <v>0</v>
      </c>
      <c r="G10" s="13">
        <f t="shared" ref="G10:G16" si="0">IFERROR(MIN(F10/E10,1),0)</f>
        <v>0</v>
      </c>
      <c r="H10" s="14">
        <f t="shared" ref="H10:H16" si="1">ROUND(G10*D10,1)</f>
        <v>0</v>
      </c>
    </row>
    <row r="11" spans="1:9" ht="30" customHeight="1" x14ac:dyDescent="0.3">
      <c r="B11" s="10">
        <v>2</v>
      </c>
      <c r="C11" s="11" t="s">
        <v>11</v>
      </c>
      <c r="D11" s="10">
        <v>20</v>
      </c>
      <c r="E11" s="15">
        <v>0.35</v>
      </c>
      <c r="F11" s="13">
        <f>IFERROR('2_Collection_Log'!D38/'2_Collection_Log'!C38,0)</f>
        <v>0.181587954084582</v>
      </c>
      <c r="G11" s="13">
        <f t="shared" si="0"/>
        <v>0.51882272595594858</v>
      </c>
      <c r="H11" s="14">
        <f t="shared" si="1"/>
        <v>10.4</v>
      </c>
    </row>
    <row r="12" spans="1:9" ht="30" customHeight="1" x14ac:dyDescent="0.3">
      <c r="B12" s="10">
        <v>3</v>
      </c>
      <c r="C12" s="11" t="s">
        <v>12</v>
      </c>
      <c r="D12" s="10">
        <v>20</v>
      </c>
      <c r="E12" s="15">
        <v>1</v>
      </c>
      <c r="F12" s="13">
        <f>IFERROR(('3_Recycling_Infrastructure'!F28*1000)/'2_Collection_Log'!D38,0)</f>
        <v>1.0995452248610409</v>
      </c>
      <c r="G12" s="13">
        <f t="shared" si="0"/>
        <v>1</v>
      </c>
      <c r="H12" s="14">
        <f t="shared" si="1"/>
        <v>20</v>
      </c>
    </row>
    <row r="13" spans="1:9" ht="30" customHeight="1" x14ac:dyDescent="0.3">
      <c r="B13" s="10">
        <v>4</v>
      </c>
      <c r="C13" s="11" t="s">
        <v>13</v>
      </c>
      <c r="D13" s="10">
        <v>15</v>
      </c>
      <c r="E13" s="15">
        <v>1</v>
      </c>
      <c r="F13" s="13">
        <f>IFERROR('4_Compliance_Tracker'!C28/'4_Compliance_Tracker'!C29,0)</f>
        <v>0.625</v>
      </c>
      <c r="G13" s="13">
        <f t="shared" si="0"/>
        <v>0.625</v>
      </c>
      <c r="H13" s="14">
        <f t="shared" si="1"/>
        <v>9.4</v>
      </c>
    </row>
    <row r="14" spans="1:9" ht="30" customHeight="1" x14ac:dyDescent="0.3">
      <c r="B14" s="10">
        <v>5</v>
      </c>
      <c r="C14" s="11" t="s">
        <v>14</v>
      </c>
      <c r="D14" s="10">
        <v>10</v>
      </c>
      <c r="E14" s="15">
        <v>1</v>
      </c>
      <c r="F14" s="13">
        <f>IFERROR((COUNTIF('5_Informal_Sector_Hotspots'!D6:D26,"*Formalized*")+COUNTIF('5_Informal_Sector_Hotspots'!D6:D26,"*Remediated*"))/'5_Informal_Sector_Hotspots'!C28,0)</f>
        <v>0.16666666666666666</v>
      </c>
      <c r="G14" s="13">
        <f t="shared" si="0"/>
        <v>0.16666666666666666</v>
      </c>
      <c r="H14" s="14">
        <f t="shared" si="1"/>
        <v>1.7</v>
      </c>
    </row>
    <row r="15" spans="1:9" ht="30" customHeight="1" x14ac:dyDescent="0.3">
      <c r="B15" s="10">
        <v>6</v>
      </c>
      <c r="C15" s="11" t="s">
        <v>15</v>
      </c>
      <c r="D15" s="10">
        <v>10</v>
      </c>
      <c r="E15" s="15">
        <v>10</v>
      </c>
      <c r="F15" s="13">
        <f>'6_Env_Health_Monitoring'!C28</f>
        <v>6</v>
      </c>
      <c r="G15" s="13">
        <f t="shared" si="0"/>
        <v>0.6</v>
      </c>
      <c r="H15" s="14">
        <f t="shared" si="1"/>
        <v>6</v>
      </c>
    </row>
    <row r="16" spans="1:9" ht="30" customHeight="1" x14ac:dyDescent="0.3">
      <c r="B16" s="10">
        <v>7</v>
      </c>
      <c r="C16" s="11" t="s">
        <v>16</v>
      </c>
      <c r="D16" s="10">
        <v>10</v>
      </c>
      <c r="E16" s="12">
        <v>50</v>
      </c>
      <c r="F16" s="10">
        <f>'7_Awareness_Programs'!C28</f>
        <v>6</v>
      </c>
      <c r="G16" s="13">
        <f t="shared" si="0"/>
        <v>0.12</v>
      </c>
      <c r="H16" s="14">
        <f t="shared" si="1"/>
        <v>1.2</v>
      </c>
    </row>
    <row r="17" spans="2:8" ht="15" customHeight="1" x14ac:dyDescent="0.3">
      <c r="B17" s="16"/>
      <c r="C17" s="17" t="s">
        <v>17</v>
      </c>
      <c r="D17" s="17">
        <f>SUM(D10:D16)</f>
        <v>100</v>
      </c>
      <c r="E17" s="16"/>
      <c r="F17" s="16"/>
      <c r="G17" s="16"/>
      <c r="H17" s="17">
        <f>SUM(H10:H16)</f>
        <v>48.7</v>
      </c>
    </row>
    <row r="19" spans="2:8" ht="15" customHeight="1" x14ac:dyDescent="0.3">
      <c r="B19" s="18" t="s">
        <v>18</v>
      </c>
    </row>
    <row r="20" spans="2:8" ht="15" customHeight="1" x14ac:dyDescent="0.3">
      <c r="B20" s="19" t="s">
        <v>19</v>
      </c>
      <c r="C20" s="19" t="s">
        <v>20</v>
      </c>
    </row>
    <row r="21" spans="2:8" ht="15" customHeight="1" x14ac:dyDescent="0.3">
      <c r="B21" s="19" t="s">
        <v>21</v>
      </c>
      <c r="C21" s="19" t="s">
        <v>22</v>
      </c>
    </row>
    <row r="22" spans="2:8" ht="15" customHeight="1" x14ac:dyDescent="0.3">
      <c r="B22" s="19" t="s">
        <v>23</v>
      </c>
      <c r="C22" s="19" t="s">
        <v>24</v>
      </c>
    </row>
    <row r="23" spans="2:8" ht="15" customHeight="1" x14ac:dyDescent="0.3">
      <c r="B23" s="19" t="s">
        <v>25</v>
      </c>
      <c r="C23" s="19" t="s">
        <v>26</v>
      </c>
    </row>
  </sheetData>
  <mergeCells count="5">
    <mergeCell ref="A2:H2"/>
    <mergeCell ref="B3:I3"/>
    <mergeCell ref="B5:C7"/>
    <mergeCell ref="D5:E7"/>
    <mergeCell ref="F5:I7"/>
  </mergeCells>
  <conditionalFormatting sqref="D5">
    <cfRule type="colorScale" priority="2">
      <colorScale>
        <cfvo type="num" val="0"/>
        <cfvo type="num" val="60"/>
        <cfvo type="num" val="100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1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6" customWidth="1"/>
    <col min="3" max="3" width="26" customWidth="1"/>
    <col min="4" max="4" width="9" customWidth="1"/>
    <col min="5" max="8" width="16" customWidth="1"/>
  </cols>
  <sheetData>
    <row r="2" spans="1:8" ht="25.5" customHeight="1" x14ac:dyDescent="0.3">
      <c r="A2" s="8" t="s">
        <v>27</v>
      </c>
      <c r="B2" s="8"/>
      <c r="C2" s="8"/>
      <c r="D2" s="8"/>
      <c r="E2" s="8"/>
      <c r="F2" s="8"/>
      <c r="G2" s="8"/>
    </row>
    <row r="4" spans="1:8" ht="30" customHeight="1" x14ac:dyDescent="0.3">
      <c r="B4" s="3" t="s">
        <v>28</v>
      </c>
      <c r="C4" s="3"/>
      <c r="D4" s="3"/>
      <c r="E4" s="3"/>
      <c r="F4" s="3"/>
      <c r="G4" s="3"/>
      <c r="H4" s="3"/>
    </row>
    <row r="6" spans="1:8" ht="23.25" customHeight="1" x14ac:dyDescent="0.3">
      <c r="B6" s="9" t="s">
        <v>3</v>
      </c>
      <c r="C6" s="9" t="s">
        <v>4</v>
      </c>
      <c r="D6" s="9" t="s">
        <v>5</v>
      </c>
      <c r="E6" s="9" t="s">
        <v>29</v>
      </c>
    </row>
    <row r="7" spans="1:8" ht="30" customHeight="1" x14ac:dyDescent="0.3">
      <c r="B7" s="10">
        <v>1</v>
      </c>
      <c r="C7" s="20" t="s">
        <v>10</v>
      </c>
      <c r="D7" s="10">
        <v>15</v>
      </c>
      <c r="E7" s="2" t="s">
        <v>30</v>
      </c>
      <c r="F7" s="2"/>
      <c r="G7" s="2"/>
      <c r="H7" s="2"/>
    </row>
    <row r="8" spans="1:8" ht="30" customHeight="1" x14ac:dyDescent="0.3">
      <c r="B8" s="10">
        <v>2</v>
      </c>
      <c r="C8" s="20" t="s">
        <v>11</v>
      </c>
      <c r="D8" s="10">
        <v>20</v>
      </c>
      <c r="E8" s="2" t="s">
        <v>31</v>
      </c>
      <c r="F8" s="2"/>
      <c r="G8" s="2"/>
      <c r="H8" s="2"/>
    </row>
    <row r="9" spans="1:8" ht="30" customHeight="1" x14ac:dyDescent="0.3">
      <c r="B9" s="10">
        <v>3</v>
      </c>
      <c r="C9" s="20" t="s">
        <v>12</v>
      </c>
      <c r="D9" s="10">
        <v>20</v>
      </c>
      <c r="E9" s="2" t="s">
        <v>32</v>
      </c>
      <c r="F9" s="2"/>
      <c r="G9" s="2"/>
      <c r="H9" s="2"/>
    </row>
    <row r="10" spans="1:8" ht="30" customHeight="1" x14ac:dyDescent="0.3">
      <c r="B10" s="10">
        <v>4</v>
      </c>
      <c r="C10" s="20" t="s">
        <v>13</v>
      </c>
      <c r="D10" s="10">
        <v>15</v>
      </c>
      <c r="E10" s="2" t="s">
        <v>33</v>
      </c>
      <c r="F10" s="2"/>
      <c r="G10" s="2"/>
      <c r="H10" s="2"/>
    </row>
    <row r="11" spans="1:8" ht="30" customHeight="1" x14ac:dyDescent="0.3">
      <c r="B11" s="10">
        <v>5</v>
      </c>
      <c r="C11" s="20" t="s">
        <v>14</v>
      </c>
      <c r="D11" s="10">
        <v>10</v>
      </c>
      <c r="E11" s="2" t="s">
        <v>34</v>
      </c>
      <c r="F11" s="2"/>
      <c r="G11" s="2"/>
      <c r="H11" s="2"/>
    </row>
    <row r="12" spans="1:8" ht="30" customHeight="1" x14ac:dyDescent="0.3">
      <c r="B12" s="10">
        <v>6</v>
      </c>
      <c r="C12" s="20" t="s">
        <v>15</v>
      </c>
      <c r="D12" s="10">
        <v>10</v>
      </c>
      <c r="E12" s="2" t="s">
        <v>35</v>
      </c>
      <c r="F12" s="2"/>
      <c r="G12" s="2"/>
      <c r="H12" s="2"/>
    </row>
    <row r="13" spans="1:8" ht="30" customHeight="1" x14ac:dyDescent="0.3">
      <c r="B13" s="10">
        <v>7</v>
      </c>
      <c r="C13" s="20" t="s">
        <v>16</v>
      </c>
      <c r="D13" s="10">
        <v>10</v>
      </c>
      <c r="E13" s="2" t="s">
        <v>36</v>
      </c>
      <c r="F13" s="2"/>
      <c r="G13" s="2"/>
      <c r="H13" s="2"/>
    </row>
    <row r="14" spans="1:8" ht="15" customHeight="1" x14ac:dyDescent="0.3">
      <c r="B14" s="16"/>
      <c r="C14" s="17" t="s">
        <v>37</v>
      </c>
      <c r="D14" s="17">
        <v>100</v>
      </c>
      <c r="E14" s="16"/>
      <c r="F14" s="16"/>
      <c r="G14" s="16"/>
      <c r="H14" s="16"/>
    </row>
    <row r="16" spans="1:8" ht="15" customHeight="1" x14ac:dyDescent="0.3">
      <c r="B16" s="18" t="s">
        <v>38</v>
      </c>
    </row>
    <row r="17" spans="2:8" ht="25.5" customHeight="1" x14ac:dyDescent="0.3">
      <c r="B17" s="1" t="s">
        <v>39</v>
      </c>
      <c r="C17" s="1"/>
      <c r="D17" s="1"/>
      <c r="E17" s="1"/>
      <c r="F17" s="1"/>
      <c r="G17" s="1"/>
      <c r="H17" s="1"/>
    </row>
    <row r="18" spans="2:8" ht="25.5" customHeight="1" x14ac:dyDescent="0.3">
      <c r="B18" s="1" t="s">
        <v>40</v>
      </c>
      <c r="C18" s="1"/>
      <c r="D18" s="1"/>
      <c r="E18" s="1"/>
      <c r="F18" s="1"/>
      <c r="G18" s="1"/>
      <c r="H18" s="1"/>
    </row>
    <row r="19" spans="2:8" ht="25.5" customHeight="1" x14ac:dyDescent="0.3">
      <c r="B19" s="1" t="s">
        <v>41</v>
      </c>
      <c r="C19" s="1"/>
      <c r="D19" s="1"/>
      <c r="E19" s="1"/>
      <c r="F19" s="1"/>
      <c r="G19" s="1"/>
      <c r="H19" s="1"/>
    </row>
    <row r="20" spans="2:8" ht="25.5" customHeight="1" x14ac:dyDescent="0.3">
      <c r="B20" s="1" t="s">
        <v>42</v>
      </c>
      <c r="C20" s="1"/>
      <c r="D20" s="1"/>
      <c r="E20" s="1"/>
      <c r="F20" s="1"/>
      <c r="G20" s="1"/>
      <c r="H20" s="1"/>
    </row>
    <row r="21" spans="2:8" ht="25.5" customHeight="1" x14ac:dyDescent="0.3">
      <c r="B21" s="1" t="s">
        <v>43</v>
      </c>
      <c r="C21" s="1"/>
      <c r="D21" s="1"/>
      <c r="E21" s="1"/>
      <c r="F21" s="1"/>
      <c r="G21" s="1"/>
      <c r="H21" s="1"/>
    </row>
  </sheetData>
  <mergeCells count="14">
    <mergeCell ref="B18:H18"/>
    <mergeCell ref="B19:H19"/>
    <mergeCell ref="B20:H20"/>
    <mergeCell ref="B21:H21"/>
    <mergeCell ref="E10:H10"/>
    <mergeCell ref="E11:H11"/>
    <mergeCell ref="E12:H12"/>
    <mergeCell ref="E13:H13"/>
    <mergeCell ref="B17:H17"/>
    <mergeCell ref="A2:G2"/>
    <mergeCell ref="B4:H4"/>
    <mergeCell ref="E7:H7"/>
    <mergeCell ref="E8:H8"/>
    <mergeCell ref="E9:H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38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8.6640625" defaultRowHeight="14.4" x14ac:dyDescent="0.3"/>
  <cols>
    <col min="1" max="1" width="3" customWidth="1"/>
    <col min="2" max="2" width="16" customWidth="1"/>
    <col min="3" max="3" width="12" customWidth="1"/>
    <col min="4" max="4" width="16" customWidth="1"/>
    <col min="5" max="5" width="20" customWidth="1"/>
    <col min="6" max="6" width="18" customWidth="1"/>
    <col min="7" max="7" width="16" customWidth="1"/>
    <col min="8" max="8" width="14" customWidth="1"/>
    <col min="9" max="9" width="12" customWidth="1"/>
    <col min="10" max="10" width="15" customWidth="1"/>
    <col min="11" max="11" width="16" customWidth="1"/>
  </cols>
  <sheetData>
    <row r="2" spans="1:11" ht="25.5" customHeight="1" x14ac:dyDescent="0.3">
      <c r="A2" s="8" t="s">
        <v>44</v>
      </c>
      <c r="B2" s="8"/>
      <c r="C2" s="8"/>
      <c r="D2" s="8"/>
      <c r="E2" s="8"/>
      <c r="F2" s="8"/>
      <c r="G2" s="8"/>
      <c r="H2" s="8"/>
      <c r="I2" s="8"/>
      <c r="J2" s="8"/>
    </row>
    <row r="3" spans="1:11" ht="15" customHeight="1" x14ac:dyDescent="0.3">
      <c r="B3" s="7" t="s">
        <v>45</v>
      </c>
      <c r="C3" s="7"/>
      <c r="D3" s="7"/>
      <c r="E3" s="7"/>
      <c r="F3" s="7"/>
      <c r="G3" s="7"/>
      <c r="H3" s="7"/>
      <c r="I3" s="7"/>
      <c r="J3" s="7"/>
      <c r="K3" s="7"/>
    </row>
    <row r="5" spans="1:11" ht="31.5" customHeight="1" x14ac:dyDescent="0.3">
      <c r="B5" s="9" t="s">
        <v>46</v>
      </c>
      <c r="C5" s="9" t="s">
        <v>47</v>
      </c>
      <c r="D5" s="9" t="s">
        <v>48</v>
      </c>
      <c r="E5" s="9" t="s">
        <v>49</v>
      </c>
      <c r="F5" s="9" t="s">
        <v>50</v>
      </c>
      <c r="G5" s="9" t="s">
        <v>51</v>
      </c>
      <c r="H5" s="9" t="s">
        <v>52</v>
      </c>
      <c r="I5" s="9" t="s">
        <v>53</v>
      </c>
      <c r="J5" s="9" t="s">
        <v>54</v>
      </c>
      <c r="K5" s="9" t="s">
        <v>55</v>
      </c>
    </row>
    <row r="6" spans="1:11" ht="15" customHeight="1" x14ac:dyDescent="0.3">
      <c r="B6" s="21" t="s">
        <v>56</v>
      </c>
      <c r="C6" s="21">
        <v>9621551</v>
      </c>
      <c r="D6" s="21">
        <v>48000000</v>
      </c>
      <c r="E6" s="21">
        <v>16000000</v>
      </c>
      <c r="F6" s="21">
        <v>8000000</v>
      </c>
      <c r="G6" s="21">
        <v>2400000</v>
      </c>
      <c r="H6" s="21">
        <v>4000000</v>
      </c>
      <c r="I6" s="21">
        <v>1600000</v>
      </c>
      <c r="J6" s="21">
        <f t="shared" ref="J6:J36" si="0">SUM(D6:I6)</f>
        <v>80000000</v>
      </c>
      <c r="K6" s="21" t="s">
        <v>57</v>
      </c>
    </row>
    <row r="7" spans="1:11" ht="15" customHeight="1" x14ac:dyDescent="0.3">
      <c r="B7" s="21" t="s">
        <v>58</v>
      </c>
      <c r="C7" s="21">
        <v>990923</v>
      </c>
      <c r="D7" s="21">
        <v>6000000</v>
      </c>
      <c r="E7" s="21">
        <v>2000000</v>
      </c>
      <c r="F7" s="21">
        <v>1000000</v>
      </c>
      <c r="G7" s="21">
        <v>300000</v>
      </c>
      <c r="H7" s="21">
        <v>500000</v>
      </c>
      <c r="I7" s="21">
        <v>200000</v>
      </c>
      <c r="J7" s="21">
        <f t="shared" si="0"/>
        <v>10000000</v>
      </c>
      <c r="K7" s="21" t="s">
        <v>57</v>
      </c>
    </row>
    <row r="8" spans="1:11" ht="15" customHeight="1" x14ac:dyDescent="0.3">
      <c r="B8" s="21" t="s">
        <v>59</v>
      </c>
      <c r="C8" s="21">
        <v>3001120</v>
      </c>
      <c r="D8" s="21">
        <v>1380000</v>
      </c>
      <c r="E8" s="21">
        <v>500000</v>
      </c>
      <c r="F8" s="21">
        <v>230000</v>
      </c>
      <c r="G8" s="21">
        <v>69000</v>
      </c>
      <c r="H8" s="21">
        <v>115000</v>
      </c>
      <c r="I8" s="21">
        <v>46000</v>
      </c>
      <c r="J8" s="21">
        <f t="shared" si="0"/>
        <v>2340000</v>
      </c>
      <c r="K8" s="21" t="s">
        <v>57</v>
      </c>
    </row>
    <row r="9" spans="1:11" ht="15" customHeight="1" x14ac:dyDescent="0.3">
      <c r="B9" s="21" t="s">
        <v>60</v>
      </c>
      <c r="C9" s="21">
        <v>2678980</v>
      </c>
      <c r="D9" s="21">
        <v>924000</v>
      </c>
      <c r="E9" s="21">
        <v>335000</v>
      </c>
      <c r="F9" s="21">
        <v>154000</v>
      </c>
      <c r="G9" s="21">
        <v>46200</v>
      </c>
      <c r="H9" s="21">
        <v>77000</v>
      </c>
      <c r="I9" s="21">
        <v>30800</v>
      </c>
      <c r="J9" s="21">
        <f t="shared" si="0"/>
        <v>1567000</v>
      </c>
      <c r="K9" s="21" t="s">
        <v>57</v>
      </c>
    </row>
    <row r="10" spans="1:11" ht="15" customHeight="1" x14ac:dyDescent="0.3">
      <c r="B10" s="21" t="s">
        <v>61</v>
      </c>
      <c r="C10" s="21">
        <v>1536401</v>
      </c>
      <c r="D10" s="21">
        <v>792000</v>
      </c>
      <c r="E10" s="21">
        <v>287000</v>
      </c>
      <c r="F10" s="21">
        <v>132000</v>
      </c>
      <c r="G10" s="21">
        <v>39600</v>
      </c>
      <c r="H10" s="21">
        <v>66000</v>
      </c>
      <c r="I10" s="21">
        <v>26400</v>
      </c>
      <c r="J10" s="21">
        <f t="shared" si="0"/>
        <v>1343000</v>
      </c>
      <c r="K10" s="21" t="s">
        <v>57</v>
      </c>
    </row>
    <row r="11" spans="1:11" ht="15" customHeight="1" x14ac:dyDescent="0.3">
      <c r="B11" s="21" t="s">
        <v>62</v>
      </c>
      <c r="C11" s="21">
        <v>2089649</v>
      </c>
      <c r="D11" s="21">
        <v>1008000</v>
      </c>
      <c r="E11" s="21">
        <v>365000</v>
      </c>
      <c r="F11" s="21">
        <v>168000</v>
      </c>
      <c r="G11" s="21">
        <v>50400</v>
      </c>
      <c r="H11" s="21">
        <v>84000</v>
      </c>
      <c r="I11" s="21">
        <v>33600</v>
      </c>
      <c r="J11" s="21">
        <f t="shared" si="0"/>
        <v>1709000</v>
      </c>
      <c r="K11" s="21" t="s">
        <v>57</v>
      </c>
    </row>
    <row r="12" spans="1:11" ht="15" customHeight="1" x14ac:dyDescent="0.3">
      <c r="B12" s="21" t="s">
        <v>63</v>
      </c>
      <c r="C12" s="21">
        <v>4778439</v>
      </c>
      <c r="D12" s="21">
        <v>900000</v>
      </c>
      <c r="E12" s="21">
        <v>326000</v>
      </c>
      <c r="F12" s="21">
        <v>150000</v>
      </c>
      <c r="G12" s="21">
        <v>45000</v>
      </c>
      <c r="H12" s="21">
        <v>75000</v>
      </c>
      <c r="I12" s="21">
        <v>30000</v>
      </c>
      <c r="J12" s="21">
        <f t="shared" si="0"/>
        <v>1526000</v>
      </c>
      <c r="K12" s="21" t="s">
        <v>57</v>
      </c>
    </row>
    <row r="13" spans="1:11" ht="15" customHeight="1" x14ac:dyDescent="0.3">
      <c r="B13" s="21" t="s">
        <v>64</v>
      </c>
      <c r="C13" s="21">
        <v>2452595</v>
      </c>
      <c r="D13" s="21">
        <v>720000</v>
      </c>
      <c r="E13" s="21">
        <v>261000</v>
      </c>
      <c r="F13" s="21">
        <v>120000</v>
      </c>
      <c r="G13" s="21">
        <v>36000</v>
      </c>
      <c r="H13" s="21">
        <v>60000</v>
      </c>
      <c r="I13" s="21">
        <v>24000</v>
      </c>
      <c r="J13" s="21">
        <f t="shared" si="0"/>
        <v>1221000</v>
      </c>
      <c r="K13" s="21" t="s">
        <v>57</v>
      </c>
    </row>
    <row r="14" spans="1:11" ht="15" customHeight="1" x14ac:dyDescent="0.3">
      <c r="B14" s="21" t="s">
        <v>65</v>
      </c>
      <c r="C14" s="21">
        <v>1752753</v>
      </c>
      <c r="D14" s="21">
        <v>420000</v>
      </c>
      <c r="E14" s="21">
        <v>152000</v>
      </c>
      <c r="F14" s="21">
        <v>70000</v>
      </c>
      <c r="G14" s="21">
        <v>21000</v>
      </c>
      <c r="H14" s="21">
        <v>35000</v>
      </c>
      <c r="I14" s="21">
        <v>14000</v>
      </c>
      <c r="J14" s="21">
        <f t="shared" si="0"/>
        <v>712000</v>
      </c>
      <c r="K14" s="21" t="s">
        <v>57</v>
      </c>
    </row>
    <row r="15" spans="1:11" ht="15" customHeight="1" x14ac:dyDescent="0.3">
      <c r="B15" s="21" t="s">
        <v>66</v>
      </c>
      <c r="C15" s="21">
        <v>2566326</v>
      </c>
      <c r="D15" s="21">
        <v>480000</v>
      </c>
      <c r="E15" s="21">
        <v>174000</v>
      </c>
      <c r="F15" s="21">
        <v>80000</v>
      </c>
      <c r="G15" s="21">
        <v>24000</v>
      </c>
      <c r="H15" s="21">
        <v>40000</v>
      </c>
      <c r="I15" s="21">
        <v>16000</v>
      </c>
      <c r="J15" s="21">
        <f t="shared" si="0"/>
        <v>814000</v>
      </c>
      <c r="K15" s="21" t="s">
        <v>57</v>
      </c>
    </row>
    <row r="16" spans="1:11" ht="15" customHeight="1" x14ac:dyDescent="0.3">
      <c r="B16" s="21" t="s">
        <v>67</v>
      </c>
      <c r="C16" s="21">
        <v>1659456</v>
      </c>
      <c r="D16" s="21">
        <v>360000</v>
      </c>
      <c r="E16" s="21">
        <v>130000</v>
      </c>
      <c r="F16" s="21">
        <v>60000</v>
      </c>
      <c r="G16" s="21">
        <v>18000</v>
      </c>
      <c r="H16" s="21">
        <v>30000</v>
      </c>
      <c r="I16" s="21">
        <v>12000</v>
      </c>
      <c r="J16" s="21">
        <f t="shared" si="0"/>
        <v>610000</v>
      </c>
      <c r="K16" s="21" t="s">
        <v>57</v>
      </c>
    </row>
    <row r="17" spans="2:11" ht="15" customHeight="1" x14ac:dyDescent="0.3">
      <c r="B17" s="21" t="s">
        <v>68</v>
      </c>
      <c r="C17" s="21">
        <v>1776421</v>
      </c>
      <c r="D17" s="21">
        <v>336000</v>
      </c>
      <c r="E17" s="21">
        <v>122000</v>
      </c>
      <c r="F17" s="21">
        <v>56000</v>
      </c>
      <c r="G17" s="21">
        <v>16800</v>
      </c>
      <c r="H17" s="21">
        <v>28000</v>
      </c>
      <c r="I17" s="21">
        <v>11200</v>
      </c>
      <c r="J17" s="21">
        <f t="shared" si="0"/>
        <v>570000</v>
      </c>
      <c r="K17" s="21" t="s">
        <v>57</v>
      </c>
    </row>
    <row r="18" spans="2:11" ht="15" customHeight="1" x14ac:dyDescent="0.3">
      <c r="B18" s="21" t="s">
        <v>69</v>
      </c>
      <c r="C18" s="21">
        <v>1928812</v>
      </c>
      <c r="D18" s="21">
        <v>300000</v>
      </c>
      <c r="E18" s="21">
        <v>109000</v>
      </c>
      <c r="F18" s="21">
        <v>50000</v>
      </c>
      <c r="G18" s="21">
        <v>15000</v>
      </c>
      <c r="H18" s="21">
        <v>25000</v>
      </c>
      <c r="I18" s="21">
        <v>10000</v>
      </c>
      <c r="J18" s="21">
        <f t="shared" si="0"/>
        <v>509000</v>
      </c>
      <c r="K18" s="21" t="s">
        <v>57</v>
      </c>
    </row>
    <row r="19" spans="2:11" ht="15" customHeight="1" x14ac:dyDescent="0.3">
      <c r="B19" s="21" t="s">
        <v>70</v>
      </c>
      <c r="C19" s="21">
        <v>1437169</v>
      </c>
      <c r="D19" s="21">
        <v>264000</v>
      </c>
      <c r="E19" s="21">
        <v>96000</v>
      </c>
      <c r="F19" s="21">
        <v>44000</v>
      </c>
      <c r="G19" s="21">
        <v>13200</v>
      </c>
      <c r="H19" s="21">
        <v>22000</v>
      </c>
      <c r="I19" s="21">
        <v>8800</v>
      </c>
      <c r="J19" s="21">
        <f t="shared" si="0"/>
        <v>448000</v>
      </c>
      <c r="K19" s="21" t="s">
        <v>57</v>
      </c>
    </row>
    <row r="20" spans="2:11" ht="15" customHeight="1" x14ac:dyDescent="0.3">
      <c r="B20" s="21" t="s">
        <v>71</v>
      </c>
      <c r="C20" s="21">
        <v>1177361</v>
      </c>
      <c r="D20" s="21">
        <v>288000</v>
      </c>
      <c r="E20" s="21">
        <v>104000</v>
      </c>
      <c r="F20" s="21">
        <v>48000</v>
      </c>
      <c r="G20" s="21">
        <v>14400</v>
      </c>
      <c r="H20" s="21">
        <v>24000</v>
      </c>
      <c r="I20" s="21">
        <v>9600</v>
      </c>
      <c r="J20" s="21">
        <f t="shared" si="0"/>
        <v>488000</v>
      </c>
      <c r="K20" s="21" t="s">
        <v>57</v>
      </c>
    </row>
    <row r="21" spans="2:11" ht="15" customHeight="1" x14ac:dyDescent="0.3">
      <c r="B21" s="21" t="s">
        <v>72</v>
      </c>
      <c r="C21" s="21">
        <v>1847023</v>
      </c>
      <c r="D21" s="21">
        <v>420000</v>
      </c>
      <c r="E21" s="21">
        <v>152000</v>
      </c>
      <c r="F21" s="21">
        <v>70000</v>
      </c>
      <c r="G21" s="21">
        <v>21000</v>
      </c>
      <c r="H21" s="21">
        <v>35000</v>
      </c>
      <c r="I21" s="21">
        <v>14000</v>
      </c>
      <c r="J21" s="21">
        <f t="shared" si="0"/>
        <v>712000</v>
      </c>
      <c r="K21" s="21" t="s">
        <v>57</v>
      </c>
    </row>
    <row r="22" spans="2:11" ht="15" customHeight="1" x14ac:dyDescent="0.3">
      <c r="B22" s="21" t="s">
        <v>73</v>
      </c>
      <c r="C22" s="21">
        <v>1805769</v>
      </c>
      <c r="D22" s="21">
        <v>216000</v>
      </c>
      <c r="E22" s="21">
        <v>78000</v>
      </c>
      <c r="F22" s="21">
        <v>36000</v>
      </c>
      <c r="G22" s="21">
        <v>10800</v>
      </c>
      <c r="H22" s="21">
        <v>18000</v>
      </c>
      <c r="I22" s="21">
        <v>7200</v>
      </c>
      <c r="J22" s="21">
        <f t="shared" si="0"/>
        <v>366000</v>
      </c>
      <c r="K22" s="21" t="s">
        <v>57</v>
      </c>
    </row>
    <row r="23" spans="2:11" ht="15" customHeight="1" x14ac:dyDescent="0.3">
      <c r="B23" s="21" t="s">
        <v>74</v>
      </c>
      <c r="C23" s="21">
        <v>1137961</v>
      </c>
      <c r="D23" s="21">
        <v>180000</v>
      </c>
      <c r="E23" s="21">
        <v>65000</v>
      </c>
      <c r="F23" s="21">
        <v>30000</v>
      </c>
      <c r="G23" s="21">
        <v>9000</v>
      </c>
      <c r="H23" s="21">
        <v>15000</v>
      </c>
      <c r="I23" s="21">
        <v>6000</v>
      </c>
      <c r="J23" s="21">
        <f t="shared" si="0"/>
        <v>305000</v>
      </c>
      <c r="K23" s="21" t="s">
        <v>57</v>
      </c>
    </row>
    <row r="24" spans="2:11" ht="15" customHeight="1" x14ac:dyDescent="0.3">
      <c r="B24" s="21" t="s">
        <v>75</v>
      </c>
      <c r="C24" s="21">
        <v>2177331</v>
      </c>
      <c r="D24" s="21">
        <v>240000</v>
      </c>
      <c r="E24" s="21">
        <v>87000</v>
      </c>
      <c r="F24" s="21">
        <v>40000</v>
      </c>
      <c r="G24" s="21">
        <v>12000</v>
      </c>
      <c r="H24" s="21">
        <v>20000</v>
      </c>
      <c r="I24" s="21">
        <v>8000</v>
      </c>
      <c r="J24" s="21">
        <f t="shared" si="0"/>
        <v>407000</v>
      </c>
      <c r="K24" s="21" t="s">
        <v>57</v>
      </c>
    </row>
    <row r="25" spans="2:11" ht="15" customHeight="1" x14ac:dyDescent="0.3">
      <c r="B25" s="21" t="s">
        <v>76</v>
      </c>
      <c r="C25" s="21">
        <v>1945497</v>
      </c>
      <c r="D25" s="21">
        <v>264000</v>
      </c>
      <c r="E25" s="21">
        <v>96000</v>
      </c>
      <c r="F25" s="21">
        <v>44000</v>
      </c>
      <c r="G25" s="21">
        <v>13200</v>
      </c>
      <c r="H25" s="21">
        <v>22000</v>
      </c>
      <c r="I25" s="21">
        <v>8800</v>
      </c>
      <c r="J25" s="21">
        <f t="shared" si="0"/>
        <v>448000</v>
      </c>
      <c r="K25" s="21" t="s">
        <v>57</v>
      </c>
    </row>
    <row r="26" spans="2:11" x14ac:dyDescent="0.3">
      <c r="B26" s="21" t="s">
        <v>77</v>
      </c>
      <c r="C26" s="21">
        <v>1889752</v>
      </c>
      <c r="D26" s="21">
        <v>192000</v>
      </c>
      <c r="E26" s="21">
        <v>70000</v>
      </c>
      <c r="F26" s="21">
        <v>32000</v>
      </c>
      <c r="G26" s="21">
        <v>9600</v>
      </c>
      <c r="H26" s="21">
        <v>16000</v>
      </c>
      <c r="I26" s="21">
        <v>6400</v>
      </c>
      <c r="J26" s="21">
        <f t="shared" si="0"/>
        <v>326000</v>
      </c>
      <c r="K26" s="21" t="s">
        <v>57</v>
      </c>
    </row>
    <row r="27" spans="2:11" ht="15" customHeight="1" x14ac:dyDescent="0.3">
      <c r="B27" s="21" t="s">
        <v>78</v>
      </c>
      <c r="C27" s="21">
        <v>1703300</v>
      </c>
      <c r="D27" s="21">
        <v>180000</v>
      </c>
      <c r="E27" s="21">
        <v>65000</v>
      </c>
      <c r="F27" s="21">
        <v>30000</v>
      </c>
      <c r="G27" s="21">
        <v>9000</v>
      </c>
      <c r="H27" s="21">
        <v>15000</v>
      </c>
      <c r="I27" s="21">
        <v>6000</v>
      </c>
      <c r="J27" s="21">
        <f t="shared" si="0"/>
        <v>305000</v>
      </c>
      <c r="K27" s="21" t="s">
        <v>57</v>
      </c>
    </row>
    <row r="28" spans="2:11" x14ac:dyDescent="0.3">
      <c r="B28" s="21" t="s">
        <v>79</v>
      </c>
      <c r="C28" s="21">
        <v>1389920</v>
      </c>
      <c r="D28" s="21">
        <v>144000</v>
      </c>
      <c r="E28" s="21">
        <v>52000</v>
      </c>
      <c r="F28" s="21">
        <v>24000</v>
      </c>
      <c r="G28" s="21">
        <v>7200</v>
      </c>
      <c r="H28" s="21">
        <v>12000</v>
      </c>
      <c r="I28" s="21">
        <v>4800</v>
      </c>
      <c r="J28" s="21">
        <f t="shared" si="0"/>
        <v>244000</v>
      </c>
      <c r="K28" s="21" t="s">
        <v>57</v>
      </c>
    </row>
    <row r="29" spans="2:11" x14ac:dyDescent="0.3">
      <c r="B29" s="21" t="s">
        <v>80</v>
      </c>
      <c r="C29" s="21">
        <v>1020791</v>
      </c>
      <c r="D29" s="21">
        <v>120000</v>
      </c>
      <c r="E29" s="21">
        <v>43000</v>
      </c>
      <c r="F29" s="21">
        <v>20000</v>
      </c>
      <c r="G29" s="21">
        <v>6000</v>
      </c>
      <c r="H29" s="21">
        <v>10000</v>
      </c>
      <c r="I29" s="21">
        <v>4000</v>
      </c>
      <c r="J29" s="21">
        <f t="shared" si="0"/>
        <v>203000</v>
      </c>
      <c r="K29" s="21" t="s">
        <v>57</v>
      </c>
    </row>
    <row r="30" spans="2:11" x14ac:dyDescent="0.3">
      <c r="B30" s="21" t="s">
        <v>81</v>
      </c>
      <c r="C30" s="21">
        <v>1082634</v>
      </c>
      <c r="D30" s="21">
        <v>216000</v>
      </c>
      <c r="E30" s="21">
        <v>78000</v>
      </c>
      <c r="F30" s="21">
        <v>36000</v>
      </c>
      <c r="G30" s="21">
        <v>10800</v>
      </c>
      <c r="H30" s="21">
        <v>18000</v>
      </c>
      <c r="I30" s="21">
        <v>7200</v>
      </c>
      <c r="J30" s="21">
        <f t="shared" si="0"/>
        <v>366000</v>
      </c>
      <c r="K30" s="21" t="s">
        <v>57</v>
      </c>
    </row>
    <row r="31" spans="2:11" x14ac:dyDescent="0.3">
      <c r="B31" s="21" t="s">
        <v>82</v>
      </c>
      <c r="C31" s="21">
        <v>1255104</v>
      </c>
      <c r="D31" s="21">
        <v>216000</v>
      </c>
      <c r="E31" s="21">
        <v>78000</v>
      </c>
      <c r="F31" s="21">
        <v>36000</v>
      </c>
      <c r="G31" s="21">
        <v>10800</v>
      </c>
      <c r="H31" s="21">
        <v>18000</v>
      </c>
      <c r="I31" s="21">
        <v>7200</v>
      </c>
      <c r="J31" s="21">
        <f t="shared" si="0"/>
        <v>366000</v>
      </c>
      <c r="K31" s="21" t="s">
        <v>57</v>
      </c>
    </row>
    <row r="32" spans="2:11" x14ac:dyDescent="0.3">
      <c r="B32" s="21" t="s">
        <v>83</v>
      </c>
      <c r="C32" s="21">
        <v>1177016</v>
      </c>
      <c r="D32" s="21">
        <v>96000</v>
      </c>
      <c r="E32" s="21">
        <v>35000</v>
      </c>
      <c r="F32" s="21">
        <v>16000</v>
      </c>
      <c r="G32" s="21">
        <v>4800</v>
      </c>
      <c r="H32" s="21">
        <v>8000</v>
      </c>
      <c r="I32" s="21">
        <v>3200</v>
      </c>
      <c r="J32" s="21">
        <f t="shared" si="0"/>
        <v>163000</v>
      </c>
      <c r="K32" s="21" t="s">
        <v>57</v>
      </c>
    </row>
    <row r="33" spans="2:11" x14ac:dyDescent="0.3">
      <c r="B33" s="21" t="s">
        <v>84</v>
      </c>
      <c r="C33" s="21">
        <v>1064570</v>
      </c>
      <c r="D33" s="21">
        <v>120000</v>
      </c>
      <c r="E33" s="21">
        <v>43000</v>
      </c>
      <c r="F33" s="21">
        <v>20000</v>
      </c>
      <c r="G33" s="21">
        <v>6000</v>
      </c>
      <c r="H33" s="21">
        <v>10000</v>
      </c>
      <c r="I33" s="21">
        <v>4000</v>
      </c>
      <c r="J33" s="21">
        <f t="shared" si="0"/>
        <v>203000</v>
      </c>
      <c r="K33" s="21" t="s">
        <v>57</v>
      </c>
    </row>
    <row r="34" spans="2:11" x14ac:dyDescent="0.3">
      <c r="B34" s="21" t="s">
        <v>85</v>
      </c>
      <c r="C34" s="21">
        <v>1597668</v>
      </c>
      <c r="D34" s="21">
        <v>144000</v>
      </c>
      <c r="E34" s="21">
        <v>52000</v>
      </c>
      <c r="F34" s="21">
        <v>24000</v>
      </c>
      <c r="G34" s="21">
        <v>7200</v>
      </c>
      <c r="H34" s="21">
        <v>12000</v>
      </c>
      <c r="I34" s="21">
        <v>4800</v>
      </c>
      <c r="J34" s="21">
        <f t="shared" si="0"/>
        <v>244000</v>
      </c>
      <c r="K34" s="21" t="s">
        <v>57</v>
      </c>
    </row>
    <row r="35" spans="2:11" x14ac:dyDescent="0.3">
      <c r="B35" s="21" t="s">
        <v>86</v>
      </c>
      <c r="C35" s="21">
        <v>554519</v>
      </c>
      <c r="D35" s="21">
        <v>96000</v>
      </c>
      <c r="E35" s="21">
        <v>35000</v>
      </c>
      <c r="F35" s="21">
        <v>16000</v>
      </c>
      <c r="G35" s="21">
        <v>4800</v>
      </c>
      <c r="H35" s="21">
        <v>8000</v>
      </c>
      <c r="I35" s="21">
        <v>3200</v>
      </c>
      <c r="J35" s="21">
        <f t="shared" si="0"/>
        <v>163000</v>
      </c>
      <c r="K35" s="21" t="s">
        <v>57</v>
      </c>
    </row>
    <row r="36" spans="2:11" x14ac:dyDescent="0.3">
      <c r="B36" s="21" t="s">
        <v>87</v>
      </c>
      <c r="C36" s="21">
        <v>1350000</v>
      </c>
      <c r="D36" s="21">
        <v>180000</v>
      </c>
      <c r="E36" s="21">
        <v>65000</v>
      </c>
      <c r="F36" s="21">
        <v>30000</v>
      </c>
      <c r="G36" s="21">
        <v>9000</v>
      </c>
      <c r="H36" s="21">
        <v>15000</v>
      </c>
      <c r="I36" s="21">
        <v>6000</v>
      </c>
      <c r="J36" s="21">
        <f t="shared" si="0"/>
        <v>305000</v>
      </c>
      <c r="K36" s="21" t="s">
        <v>57</v>
      </c>
    </row>
    <row r="38" spans="2:11" x14ac:dyDescent="0.3">
      <c r="B38" t="s">
        <v>88</v>
      </c>
      <c r="C38">
        <f t="shared" ref="C38:J38" si="1">SUM(C6:C36)</f>
        <v>62446811</v>
      </c>
      <c r="D38">
        <f t="shared" si="1"/>
        <v>65196000</v>
      </c>
      <c r="E38">
        <f t="shared" si="1"/>
        <v>22055000</v>
      </c>
      <c r="F38">
        <f t="shared" si="1"/>
        <v>10866000</v>
      </c>
      <c r="G38">
        <f t="shared" si="1"/>
        <v>3259800</v>
      </c>
      <c r="H38">
        <f t="shared" si="1"/>
        <v>5433000</v>
      </c>
      <c r="I38">
        <f t="shared" si="1"/>
        <v>2173200</v>
      </c>
      <c r="J38">
        <f t="shared" si="1"/>
        <v>108983000</v>
      </c>
    </row>
  </sheetData>
  <mergeCells count="2">
    <mergeCell ref="A2:J2"/>
    <mergeCell ref="B3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38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8.6640625" defaultRowHeight="14.4" x14ac:dyDescent="0.3"/>
  <cols>
    <col min="1" max="1" width="3" customWidth="1"/>
    <col min="2" max="2" width="16" customWidth="1"/>
    <col min="3" max="3" width="20" customWidth="1"/>
    <col min="4" max="4" width="13" customWidth="1"/>
    <col min="5" max="5" width="18" customWidth="1"/>
    <col min="6" max="6" width="16" customWidth="1"/>
    <col min="7" max="7" width="18" customWidth="1"/>
    <col min="8" max="8" width="30" customWidth="1"/>
  </cols>
  <sheetData>
    <row r="2" spans="1:8" ht="25.5" customHeight="1" x14ac:dyDescent="0.3">
      <c r="A2" s="8" t="s">
        <v>89</v>
      </c>
      <c r="B2" s="8"/>
      <c r="C2" s="8"/>
      <c r="D2" s="8"/>
      <c r="E2" s="8"/>
      <c r="F2" s="8"/>
      <c r="G2" s="8"/>
    </row>
    <row r="3" spans="1:8" ht="15" customHeight="1" x14ac:dyDescent="0.3">
      <c r="B3" s="7" t="s">
        <v>90</v>
      </c>
      <c r="C3" s="7"/>
      <c r="D3" s="7"/>
      <c r="E3" s="7"/>
      <c r="F3" s="7"/>
      <c r="G3" s="7"/>
      <c r="H3" s="7"/>
    </row>
    <row r="5" spans="1:8" ht="31.5" customHeight="1" x14ac:dyDescent="0.3">
      <c r="B5" s="9" t="s">
        <v>46</v>
      </c>
      <c r="C5" s="9" t="s">
        <v>91</v>
      </c>
      <c r="D5" s="9" t="s">
        <v>92</v>
      </c>
      <c r="E5" s="9" t="s">
        <v>93</v>
      </c>
      <c r="F5" s="9" t="s">
        <v>94</v>
      </c>
      <c r="G5" s="9" t="s">
        <v>95</v>
      </c>
      <c r="H5" s="9" t="s">
        <v>96</v>
      </c>
    </row>
    <row r="6" spans="1:8" ht="23.25" customHeight="1" x14ac:dyDescent="0.3">
      <c r="B6" s="21" t="s">
        <v>56</v>
      </c>
      <c r="C6" s="21">
        <f>IFERROR(INDEX('1_Generation_Inventory'!$J$6:$J$36,MATCH(B6,'1_Generation_Inventory'!$B$6:$B$36,0)),0)</f>
        <v>80000000</v>
      </c>
      <c r="D6" s="21">
        <v>16800000</v>
      </c>
      <c r="E6" s="21">
        <v>82</v>
      </c>
      <c r="F6" s="21">
        <v>20000000</v>
      </c>
      <c r="G6" s="21">
        <v>16800000</v>
      </c>
      <c r="H6" s="21" t="s">
        <v>97</v>
      </c>
    </row>
    <row r="7" spans="1:8" ht="15" customHeight="1" x14ac:dyDescent="0.3">
      <c r="B7" s="21" t="s">
        <v>58</v>
      </c>
      <c r="C7" s="21">
        <f>IFERROR(INDEX('1_Generation_Inventory'!$J$6:$J$36,MATCH(B7,'1_Generation_Inventory'!$B$6:$B$36,0)),0)</f>
        <v>10000000</v>
      </c>
      <c r="D7" s="21">
        <v>1800000</v>
      </c>
      <c r="E7" s="21">
        <v>18</v>
      </c>
      <c r="F7" s="21">
        <v>2500000</v>
      </c>
      <c r="G7" s="21">
        <v>1800000</v>
      </c>
      <c r="H7" s="21" t="s">
        <v>98</v>
      </c>
    </row>
    <row r="8" spans="1:8" ht="15" customHeight="1" x14ac:dyDescent="0.3">
      <c r="B8" s="21" t="s">
        <v>59</v>
      </c>
      <c r="C8" s="21">
        <f>IFERROR(INDEX('1_Generation_Inventory'!$J$6:$J$36,MATCH(B8,'1_Generation_Inventory'!$B$6:$B$36,0)),0)</f>
        <v>2340000</v>
      </c>
      <c r="D8" s="21">
        <v>280000</v>
      </c>
      <c r="E8" s="21">
        <v>6</v>
      </c>
      <c r="F8" s="21">
        <v>500000</v>
      </c>
      <c r="G8" s="21">
        <v>280000</v>
      </c>
      <c r="H8" s="21" t="s">
        <v>99</v>
      </c>
    </row>
    <row r="9" spans="1:8" ht="15" customHeight="1" x14ac:dyDescent="0.3">
      <c r="B9" s="21" t="s">
        <v>60</v>
      </c>
      <c r="C9" s="21">
        <f>IFERROR(INDEX('1_Generation_Inventory'!$J$6:$J$36,MATCH(B9,'1_Generation_Inventory'!$B$6:$B$36,0)),0)</f>
        <v>1567000</v>
      </c>
      <c r="D9" s="21">
        <v>190000</v>
      </c>
      <c r="E9" s="21">
        <v>4</v>
      </c>
      <c r="F9" s="21">
        <v>350000</v>
      </c>
      <c r="G9" s="21">
        <v>190000</v>
      </c>
      <c r="H9" s="21" t="s">
        <v>100</v>
      </c>
    </row>
    <row r="10" spans="1:8" ht="15" customHeight="1" x14ac:dyDescent="0.3">
      <c r="B10" s="21" t="s">
        <v>61</v>
      </c>
      <c r="C10" s="21">
        <f>IFERROR(INDEX('1_Generation_Inventory'!$J$6:$J$36,MATCH(B10,'1_Generation_Inventory'!$B$6:$B$36,0)),0)</f>
        <v>1343000</v>
      </c>
      <c r="D10" s="21">
        <v>160000</v>
      </c>
      <c r="E10" s="21">
        <v>3</v>
      </c>
      <c r="F10" s="21">
        <v>300000</v>
      </c>
      <c r="G10" s="21">
        <v>160000</v>
      </c>
      <c r="H10" s="21" t="s">
        <v>101</v>
      </c>
    </row>
    <row r="11" spans="1:8" ht="15" customHeight="1" x14ac:dyDescent="0.3">
      <c r="B11" s="21" t="s">
        <v>62</v>
      </c>
      <c r="C11" s="21">
        <f>IFERROR(INDEX('1_Generation_Inventory'!$J$6:$J$36,MATCH(B11,'1_Generation_Inventory'!$B$6:$B$36,0)),0)</f>
        <v>1709000</v>
      </c>
      <c r="D11" s="21">
        <v>120000</v>
      </c>
      <c r="E11" s="21">
        <v>4</v>
      </c>
      <c r="F11" s="21">
        <v>400000</v>
      </c>
      <c r="G11" s="21">
        <v>120000</v>
      </c>
      <c r="H11" s="21" t="s">
        <v>102</v>
      </c>
    </row>
    <row r="12" spans="1:8" ht="15" customHeight="1" x14ac:dyDescent="0.3">
      <c r="B12" s="21" t="s">
        <v>63</v>
      </c>
      <c r="C12" s="21">
        <f>IFERROR(INDEX('1_Generation_Inventory'!$J$6:$J$36,MATCH(B12,'1_Generation_Inventory'!$B$6:$B$36,0)),0)</f>
        <v>1526000</v>
      </c>
      <c r="D12" s="21">
        <v>85000</v>
      </c>
      <c r="E12" s="21">
        <v>3</v>
      </c>
      <c r="F12" s="21">
        <v>350000</v>
      </c>
      <c r="G12" s="21">
        <v>85000</v>
      </c>
      <c r="H12" s="21" t="s">
        <v>103</v>
      </c>
    </row>
    <row r="13" spans="1:8" ht="15" customHeight="1" x14ac:dyDescent="0.3">
      <c r="B13" s="21" t="s">
        <v>64</v>
      </c>
      <c r="C13" s="21">
        <f>IFERROR(INDEX('1_Generation_Inventory'!$J$6:$J$36,MATCH(B13,'1_Generation_Inventory'!$B$6:$B$36,0)),0)</f>
        <v>1221000</v>
      </c>
      <c r="D13" s="21">
        <v>60000</v>
      </c>
      <c r="E13" s="21">
        <v>2</v>
      </c>
      <c r="F13" s="21">
        <v>250000</v>
      </c>
      <c r="G13" s="21">
        <v>60000</v>
      </c>
      <c r="H13" s="21" t="s">
        <v>104</v>
      </c>
    </row>
    <row r="14" spans="1:8" ht="15" customHeight="1" x14ac:dyDescent="0.3">
      <c r="B14" s="21" t="s">
        <v>65</v>
      </c>
      <c r="C14" s="21">
        <f>IFERROR(INDEX('1_Generation_Inventory'!$J$6:$J$36,MATCH(B14,'1_Generation_Inventory'!$B$6:$B$36,0)),0)</f>
        <v>712000</v>
      </c>
      <c r="D14" s="21">
        <v>35000</v>
      </c>
      <c r="E14" s="21">
        <v>2</v>
      </c>
      <c r="F14" s="21">
        <v>150000</v>
      </c>
      <c r="G14" s="21">
        <v>35000</v>
      </c>
      <c r="H14" s="21" t="s">
        <v>105</v>
      </c>
    </row>
    <row r="15" spans="1:8" ht="15" customHeight="1" x14ac:dyDescent="0.3">
      <c r="B15" s="21" t="s">
        <v>66</v>
      </c>
      <c r="C15" s="21">
        <f>IFERROR(INDEX('1_Generation_Inventory'!$J$6:$J$36,MATCH(B15,'1_Generation_Inventory'!$B$6:$B$36,0)),0)</f>
        <v>814000</v>
      </c>
      <c r="D15" s="21">
        <v>30000</v>
      </c>
      <c r="E15" s="21">
        <v>2</v>
      </c>
      <c r="F15" s="21">
        <v>180000</v>
      </c>
      <c r="G15" s="21">
        <v>30000</v>
      </c>
      <c r="H15" s="21" t="s">
        <v>106</v>
      </c>
    </row>
    <row r="16" spans="1:8" ht="15" customHeight="1" x14ac:dyDescent="0.3">
      <c r="B16" s="21" t="s">
        <v>67</v>
      </c>
      <c r="C16" s="21">
        <f>IFERROR(INDEX('1_Generation_Inventory'!$J$6:$J$36,MATCH(B16,'1_Generation_Inventory'!$B$6:$B$36,0)),0)</f>
        <v>610000</v>
      </c>
      <c r="D16" s="21">
        <v>25000</v>
      </c>
      <c r="E16" s="21">
        <v>1</v>
      </c>
      <c r="F16" s="21">
        <v>120000</v>
      </c>
      <c r="G16" s="21">
        <v>25000</v>
      </c>
      <c r="H16" s="21" t="s">
        <v>107</v>
      </c>
    </row>
    <row r="17" spans="2:8" ht="15" customHeight="1" x14ac:dyDescent="0.3">
      <c r="B17" s="21" t="s">
        <v>68</v>
      </c>
      <c r="C17" s="21">
        <f>IFERROR(INDEX('1_Generation_Inventory'!$J$6:$J$36,MATCH(B17,'1_Generation_Inventory'!$B$6:$B$36,0)),0)</f>
        <v>570000</v>
      </c>
      <c r="D17" s="21">
        <v>20000</v>
      </c>
      <c r="E17" s="21">
        <v>1</v>
      </c>
      <c r="F17" s="21">
        <v>120000</v>
      </c>
      <c r="G17" s="21">
        <v>20000</v>
      </c>
      <c r="H17" s="21" t="s">
        <v>108</v>
      </c>
    </row>
    <row r="18" spans="2:8" ht="15" customHeight="1" x14ac:dyDescent="0.3">
      <c r="B18" s="21" t="s">
        <v>69</v>
      </c>
      <c r="C18" s="21">
        <f>IFERROR(INDEX('1_Generation_Inventory'!$J$6:$J$36,MATCH(B18,'1_Generation_Inventory'!$B$6:$B$36,0)),0)</f>
        <v>509000</v>
      </c>
      <c r="D18" s="21">
        <v>18000</v>
      </c>
      <c r="E18" s="21">
        <v>1</v>
      </c>
      <c r="F18" s="21">
        <v>100000</v>
      </c>
      <c r="G18" s="21">
        <v>18000</v>
      </c>
      <c r="H18" s="21" t="s">
        <v>109</v>
      </c>
    </row>
    <row r="19" spans="2:8" ht="15" customHeight="1" x14ac:dyDescent="0.3">
      <c r="B19" s="21" t="s">
        <v>70</v>
      </c>
      <c r="C19" s="21">
        <f>IFERROR(INDEX('1_Generation_Inventory'!$J$6:$J$36,MATCH(B19,'1_Generation_Inventory'!$B$6:$B$36,0)),0)</f>
        <v>448000</v>
      </c>
      <c r="D19" s="21">
        <v>15000</v>
      </c>
      <c r="E19" s="21">
        <v>1</v>
      </c>
      <c r="F19" s="21">
        <v>90000</v>
      </c>
      <c r="G19" s="21">
        <v>15000</v>
      </c>
      <c r="H19" s="21" t="s">
        <v>110</v>
      </c>
    </row>
    <row r="20" spans="2:8" ht="15" customHeight="1" x14ac:dyDescent="0.3">
      <c r="B20" s="21" t="s">
        <v>71</v>
      </c>
      <c r="C20" s="21">
        <f>IFERROR(INDEX('1_Generation_Inventory'!$J$6:$J$36,MATCH(B20,'1_Generation_Inventory'!$B$6:$B$36,0)),0)</f>
        <v>488000</v>
      </c>
      <c r="D20" s="21">
        <v>20000</v>
      </c>
      <c r="E20" s="21">
        <v>1</v>
      </c>
      <c r="F20" s="21">
        <v>100000</v>
      </c>
      <c r="G20" s="21">
        <v>20000</v>
      </c>
      <c r="H20" s="21" t="s">
        <v>111</v>
      </c>
    </row>
    <row r="21" spans="2:8" ht="15" customHeight="1" x14ac:dyDescent="0.3">
      <c r="B21" s="21" t="s">
        <v>72</v>
      </c>
      <c r="C21" s="21">
        <f>IFERROR(INDEX('1_Generation_Inventory'!$J$6:$J$36,MATCH(B21,'1_Generation_Inventory'!$B$6:$B$36,0)),0)</f>
        <v>712000</v>
      </c>
      <c r="D21" s="21">
        <v>32000</v>
      </c>
      <c r="E21" s="21">
        <v>2</v>
      </c>
      <c r="F21" s="21">
        <v>150000</v>
      </c>
      <c r="G21" s="21">
        <v>32000</v>
      </c>
      <c r="H21" s="21" t="s">
        <v>112</v>
      </c>
    </row>
    <row r="22" spans="2:8" ht="15" customHeight="1" x14ac:dyDescent="0.3">
      <c r="B22" s="21" t="s">
        <v>73</v>
      </c>
      <c r="C22" s="21">
        <f>IFERROR(INDEX('1_Generation_Inventory'!$J$6:$J$36,MATCH(B22,'1_Generation_Inventory'!$B$6:$B$36,0)),0)</f>
        <v>366000</v>
      </c>
      <c r="D22" s="21">
        <v>10000</v>
      </c>
      <c r="E22" s="21">
        <v>1</v>
      </c>
      <c r="F22" s="21">
        <v>80000</v>
      </c>
      <c r="G22" s="21">
        <v>10000</v>
      </c>
      <c r="H22" s="21" t="s">
        <v>113</v>
      </c>
    </row>
    <row r="23" spans="2:8" ht="15" customHeight="1" x14ac:dyDescent="0.3">
      <c r="B23" s="21" t="s">
        <v>74</v>
      </c>
      <c r="C23" s="21">
        <f>IFERROR(INDEX('1_Generation_Inventory'!$J$6:$J$36,MATCH(B23,'1_Generation_Inventory'!$B$6:$B$36,0)),0)</f>
        <v>305000</v>
      </c>
      <c r="D23" s="21">
        <v>8000</v>
      </c>
      <c r="E23" s="21">
        <v>1</v>
      </c>
      <c r="F23" s="21">
        <v>60000</v>
      </c>
      <c r="G23" s="21">
        <v>8000</v>
      </c>
      <c r="H23" s="21" t="s">
        <v>114</v>
      </c>
    </row>
    <row r="24" spans="2:8" ht="15" customHeight="1" x14ac:dyDescent="0.3">
      <c r="B24" s="21" t="s">
        <v>75</v>
      </c>
      <c r="C24" s="21">
        <f>IFERROR(INDEX('1_Generation_Inventory'!$J$6:$J$36,MATCH(B24,'1_Generation_Inventory'!$B$6:$B$36,0)),0)</f>
        <v>407000</v>
      </c>
      <c r="D24" s="21">
        <v>11000</v>
      </c>
      <c r="E24" s="21">
        <v>1</v>
      </c>
      <c r="F24" s="21">
        <v>80000</v>
      </c>
      <c r="G24" s="21">
        <v>11000</v>
      </c>
      <c r="H24" s="21" t="s">
        <v>115</v>
      </c>
    </row>
    <row r="25" spans="2:8" ht="15" customHeight="1" x14ac:dyDescent="0.3">
      <c r="B25" s="21" t="s">
        <v>76</v>
      </c>
      <c r="C25" s="21">
        <f>IFERROR(INDEX('1_Generation_Inventory'!$J$6:$J$36,MATCH(B25,'1_Generation_Inventory'!$B$6:$B$36,0)),0)</f>
        <v>448000</v>
      </c>
      <c r="D25" s="21">
        <v>14000</v>
      </c>
      <c r="E25" s="21">
        <v>1</v>
      </c>
      <c r="F25" s="21">
        <v>90000</v>
      </c>
      <c r="G25" s="21">
        <v>14000</v>
      </c>
      <c r="H25" s="21" t="s">
        <v>116</v>
      </c>
    </row>
    <row r="26" spans="2:8" ht="26.4" x14ac:dyDescent="0.3">
      <c r="B26" s="21" t="s">
        <v>77</v>
      </c>
      <c r="C26" s="21">
        <f>IFERROR(INDEX('1_Generation_Inventory'!$J$6:$J$36,MATCH(B26,'1_Generation_Inventory'!$B$6:$B$36,0)),0)</f>
        <v>326000</v>
      </c>
      <c r="D26" s="21">
        <v>7000</v>
      </c>
      <c r="E26" s="21">
        <v>1</v>
      </c>
      <c r="F26" s="21">
        <v>60000</v>
      </c>
      <c r="G26" s="21">
        <v>7000</v>
      </c>
      <c r="H26" s="21" t="s">
        <v>117</v>
      </c>
    </row>
    <row r="27" spans="2:8" ht="15" customHeight="1" x14ac:dyDescent="0.3">
      <c r="B27" s="21" t="s">
        <v>78</v>
      </c>
      <c r="C27" s="21">
        <f>IFERROR(INDEX('1_Generation_Inventory'!$J$6:$J$36,MATCH(B27,'1_Generation_Inventory'!$B$6:$B$36,0)),0)</f>
        <v>305000</v>
      </c>
      <c r="D27" s="21">
        <v>5000</v>
      </c>
      <c r="E27" s="21">
        <v>1</v>
      </c>
      <c r="F27" s="21">
        <v>60000</v>
      </c>
      <c r="G27" s="21">
        <v>5000</v>
      </c>
      <c r="H27" s="21" t="s">
        <v>118</v>
      </c>
    </row>
    <row r="28" spans="2:8" ht="26.4" x14ac:dyDescent="0.3">
      <c r="B28" s="21" t="s">
        <v>79</v>
      </c>
      <c r="C28" s="21">
        <f>IFERROR(INDEX('1_Generation_Inventory'!$J$6:$J$36,MATCH(B28,'1_Generation_Inventory'!$B$6:$B$36,0)),0)</f>
        <v>244000</v>
      </c>
      <c r="D28" s="21">
        <v>4000</v>
      </c>
      <c r="E28" s="21">
        <v>0</v>
      </c>
      <c r="F28" s="21">
        <v>50000</v>
      </c>
      <c r="G28" s="21">
        <v>4000</v>
      </c>
      <c r="H28" s="21" t="s">
        <v>119</v>
      </c>
    </row>
    <row r="29" spans="2:8" ht="26.4" x14ac:dyDescent="0.3">
      <c r="B29" s="21" t="s">
        <v>80</v>
      </c>
      <c r="C29" s="21">
        <f>IFERROR(INDEX('1_Generation_Inventory'!$J$6:$J$36,MATCH(B29,'1_Generation_Inventory'!$B$6:$B$36,0)),0)</f>
        <v>203000</v>
      </c>
      <c r="D29" s="21">
        <v>3000</v>
      </c>
      <c r="E29" s="21">
        <v>0</v>
      </c>
      <c r="F29" s="21">
        <v>40000</v>
      </c>
      <c r="G29" s="21">
        <v>3000</v>
      </c>
      <c r="H29" s="21" t="s">
        <v>120</v>
      </c>
    </row>
    <row r="30" spans="2:8" ht="26.4" x14ac:dyDescent="0.3">
      <c r="B30" s="21" t="s">
        <v>81</v>
      </c>
      <c r="C30" s="21">
        <f>IFERROR(INDEX('1_Generation_Inventory'!$J$6:$J$36,MATCH(B30,'1_Generation_Inventory'!$B$6:$B$36,0)),0)</f>
        <v>366000</v>
      </c>
      <c r="D30" s="21">
        <v>12000</v>
      </c>
      <c r="E30" s="21">
        <v>1</v>
      </c>
      <c r="F30" s="21">
        <v>80000</v>
      </c>
      <c r="G30" s="21">
        <v>12000</v>
      </c>
      <c r="H30" s="21" t="s">
        <v>121</v>
      </c>
    </row>
    <row r="31" spans="2:8" ht="26.4" x14ac:dyDescent="0.3">
      <c r="B31" s="21" t="s">
        <v>82</v>
      </c>
      <c r="C31" s="21">
        <f>IFERROR(INDEX('1_Generation_Inventory'!$J$6:$J$36,MATCH(B31,'1_Generation_Inventory'!$B$6:$B$36,0)),0)</f>
        <v>366000</v>
      </c>
      <c r="D31" s="21">
        <v>10000</v>
      </c>
      <c r="E31" s="21">
        <v>1</v>
      </c>
      <c r="F31" s="21">
        <v>80000</v>
      </c>
      <c r="G31" s="21">
        <v>10000</v>
      </c>
      <c r="H31" s="21" t="s">
        <v>122</v>
      </c>
    </row>
    <row r="32" spans="2:8" ht="26.4" x14ac:dyDescent="0.3">
      <c r="B32" s="21" t="s">
        <v>83</v>
      </c>
      <c r="C32" s="21">
        <f>IFERROR(INDEX('1_Generation_Inventory'!$J$6:$J$36,MATCH(B32,'1_Generation_Inventory'!$B$6:$B$36,0)),0)</f>
        <v>163000</v>
      </c>
      <c r="D32" s="21">
        <v>2000</v>
      </c>
      <c r="E32" s="21">
        <v>0</v>
      </c>
      <c r="F32" s="21">
        <v>30000</v>
      </c>
      <c r="G32" s="21">
        <v>2000</v>
      </c>
      <c r="H32" s="21" t="s">
        <v>123</v>
      </c>
    </row>
    <row r="33" spans="2:8" ht="26.4" x14ac:dyDescent="0.3">
      <c r="B33" s="21" t="s">
        <v>84</v>
      </c>
      <c r="C33" s="21">
        <f>IFERROR(INDEX('1_Generation_Inventory'!$J$6:$J$36,MATCH(B33,'1_Generation_Inventory'!$B$6:$B$36,0)),0)</f>
        <v>203000</v>
      </c>
      <c r="D33" s="21">
        <v>3000</v>
      </c>
      <c r="E33" s="21">
        <v>0</v>
      </c>
      <c r="F33" s="21">
        <v>40000</v>
      </c>
      <c r="G33" s="21">
        <v>3000</v>
      </c>
      <c r="H33" s="21" t="s">
        <v>124</v>
      </c>
    </row>
    <row r="34" spans="2:8" ht="26.4" x14ac:dyDescent="0.3">
      <c r="B34" s="21" t="s">
        <v>85</v>
      </c>
      <c r="C34" s="21">
        <f>IFERROR(INDEX('1_Generation_Inventory'!$J$6:$J$36,MATCH(B34,'1_Generation_Inventory'!$B$6:$B$36,0)),0)</f>
        <v>244000</v>
      </c>
      <c r="D34" s="21">
        <v>4000</v>
      </c>
      <c r="E34" s="21">
        <v>0</v>
      </c>
      <c r="F34" s="21">
        <v>50000</v>
      </c>
      <c r="G34" s="21">
        <v>4000</v>
      </c>
      <c r="H34" s="21" t="s">
        <v>125</v>
      </c>
    </row>
    <row r="35" spans="2:8" ht="26.4" x14ac:dyDescent="0.3">
      <c r="B35" s="21" t="s">
        <v>86</v>
      </c>
      <c r="C35" s="21">
        <f>IFERROR(INDEX('1_Generation_Inventory'!$J$6:$J$36,MATCH(B35,'1_Generation_Inventory'!$B$6:$B$36,0)),0)</f>
        <v>163000</v>
      </c>
      <c r="D35" s="21">
        <v>2000</v>
      </c>
      <c r="E35" s="21">
        <v>0</v>
      </c>
      <c r="F35" s="21">
        <v>30000</v>
      </c>
      <c r="G35" s="21">
        <v>2000</v>
      </c>
      <c r="H35" s="21" t="s">
        <v>126</v>
      </c>
    </row>
    <row r="36" spans="2:8" ht="26.4" x14ac:dyDescent="0.3">
      <c r="B36" s="21" t="s">
        <v>87</v>
      </c>
      <c r="C36" s="21">
        <f>IFERROR(INDEX('1_Generation_Inventory'!$J$6:$J$36,MATCH(B36,'1_Generation_Inventory'!$B$6:$B$36,0)),0)</f>
        <v>305000</v>
      </c>
      <c r="D36" s="21">
        <v>5000</v>
      </c>
      <c r="E36" s="21">
        <v>1</v>
      </c>
      <c r="F36" s="21">
        <v>60000</v>
      </c>
      <c r="G36" s="21">
        <v>5000</v>
      </c>
      <c r="H36" s="21" t="s">
        <v>127</v>
      </c>
    </row>
    <row r="38" spans="2:8" x14ac:dyDescent="0.3">
      <c r="B38" t="s">
        <v>88</v>
      </c>
      <c r="C38">
        <f>SUM(C6:C36)</f>
        <v>108983000</v>
      </c>
      <c r="D38">
        <f>SUM(D6:D36)</f>
        <v>19790000</v>
      </c>
      <c r="E38">
        <f>SUM(E6:E36)</f>
        <v>142</v>
      </c>
      <c r="F38">
        <f>SUM(F6:F36)</f>
        <v>26550000</v>
      </c>
      <c r="G38">
        <f>SUM(G6:G36)</f>
        <v>19790000</v>
      </c>
    </row>
  </sheetData>
  <mergeCells count="2">
    <mergeCell ref="A2:G2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8"/>
  <sheetViews>
    <sheetView showGridLines="0" zoomScaleNormal="100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L10" sqref="L10"/>
    </sheetView>
  </sheetViews>
  <sheetFormatPr defaultColWidth="8.6640625" defaultRowHeight="14.4" x14ac:dyDescent="0.3"/>
  <cols>
    <col min="1" max="1" width="3" customWidth="1"/>
    <col min="2" max="2" width="28" customWidth="1"/>
    <col min="3" max="3" width="22" customWidth="1"/>
    <col min="4" max="4" width="14" customWidth="1"/>
    <col min="5" max="5" width="16" customWidth="1"/>
    <col min="6" max="6" width="20" customWidth="1"/>
    <col min="7" max="8" width="18" customWidth="1"/>
  </cols>
  <sheetData>
    <row r="2" spans="1:8" ht="25.5" customHeight="1" x14ac:dyDescent="0.3">
      <c r="A2" s="8" t="s">
        <v>128</v>
      </c>
      <c r="B2" s="8"/>
      <c r="C2" s="8"/>
      <c r="D2" s="8"/>
      <c r="E2" s="8"/>
      <c r="F2" s="8"/>
      <c r="G2" s="8"/>
    </row>
    <row r="3" spans="1:8" ht="15" customHeight="1" x14ac:dyDescent="0.3">
      <c r="B3" s="7" t="s">
        <v>129</v>
      </c>
      <c r="C3" s="7"/>
      <c r="D3" s="7"/>
      <c r="E3" s="7"/>
      <c r="F3" s="7"/>
      <c r="G3" s="7"/>
      <c r="H3" s="7"/>
    </row>
    <row r="5" spans="1:8" ht="31.5" customHeight="1" x14ac:dyDescent="0.3">
      <c r="B5" s="9" t="s">
        <v>130</v>
      </c>
      <c r="C5" s="9" t="s">
        <v>131</v>
      </c>
      <c r="D5" s="9" t="s">
        <v>46</v>
      </c>
      <c r="E5" s="9" t="s">
        <v>132</v>
      </c>
      <c r="F5" s="9" t="s">
        <v>133</v>
      </c>
      <c r="G5" s="9" t="s">
        <v>134</v>
      </c>
      <c r="H5" s="9" t="s">
        <v>135</v>
      </c>
    </row>
    <row r="6" spans="1:8" ht="23.25" customHeight="1" x14ac:dyDescent="0.3">
      <c r="B6" s="21" t="s">
        <v>136</v>
      </c>
      <c r="C6" s="21" t="s">
        <v>137</v>
      </c>
      <c r="D6" s="21" t="s">
        <v>61</v>
      </c>
      <c r="E6" s="21">
        <v>90000</v>
      </c>
      <c r="F6" s="21">
        <v>11200</v>
      </c>
      <c r="G6" s="22">
        <v>0.88500000000000001</v>
      </c>
      <c r="H6" s="21" t="s">
        <v>138</v>
      </c>
    </row>
    <row r="7" spans="1:8" ht="15" customHeight="1" x14ac:dyDescent="0.3">
      <c r="B7" s="21" t="s">
        <v>139</v>
      </c>
      <c r="C7" s="21" t="s">
        <v>140</v>
      </c>
      <c r="D7" s="21" t="s">
        <v>58</v>
      </c>
      <c r="E7" s="21">
        <v>12000</v>
      </c>
      <c r="F7" s="21">
        <v>3100</v>
      </c>
      <c r="G7" s="22">
        <v>0.91200000000000003</v>
      </c>
      <c r="H7" s="21" t="s">
        <v>141</v>
      </c>
    </row>
    <row r="8" spans="1:8" ht="15" customHeight="1" x14ac:dyDescent="0.3">
      <c r="B8" s="21" t="s">
        <v>142</v>
      </c>
      <c r="C8" s="21" t="s">
        <v>143</v>
      </c>
      <c r="D8" s="21" t="s">
        <v>58</v>
      </c>
      <c r="E8" s="21">
        <v>8800</v>
      </c>
      <c r="F8" s="21">
        <v>2450</v>
      </c>
      <c r="G8" s="22">
        <v>0.86</v>
      </c>
      <c r="H8" s="21" t="s">
        <v>144</v>
      </c>
    </row>
    <row r="9" spans="1:8" ht="15" customHeight="1" x14ac:dyDescent="0.3">
      <c r="B9" s="21" t="s">
        <v>145</v>
      </c>
      <c r="C9" s="21" t="s">
        <v>146</v>
      </c>
      <c r="D9" s="21" t="s">
        <v>56</v>
      </c>
      <c r="E9" s="21">
        <v>7200</v>
      </c>
      <c r="F9" s="21">
        <v>1120</v>
      </c>
      <c r="G9" s="22">
        <v>0.82499999999999996</v>
      </c>
      <c r="H9" s="21" t="s">
        <v>147</v>
      </c>
    </row>
    <row r="10" spans="1:8" ht="15" customHeight="1" x14ac:dyDescent="0.3">
      <c r="B10" s="21" t="s">
        <v>148</v>
      </c>
      <c r="C10" s="21" t="s">
        <v>149</v>
      </c>
      <c r="D10" s="21" t="s">
        <v>60</v>
      </c>
      <c r="E10" s="21">
        <v>5000</v>
      </c>
      <c r="F10" s="21">
        <v>920</v>
      </c>
      <c r="G10" s="22">
        <v>0.89</v>
      </c>
      <c r="H10" s="21" t="s">
        <v>150</v>
      </c>
    </row>
    <row r="11" spans="1:8" ht="15" customHeight="1" x14ac:dyDescent="0.3">
      <c r="B11" s="21" t="s">
        <v>151</v>
      </c>
      <c r="C11" s="21" t="s">
        <v>152</v>
      </c>
      <c r="D11" s="21" t="s">
        <v>56</v>
      </c>
      <c r="E11" s="21">
        <v>3500</v>
      </c>
      <c r="F11" s="21">
        <v>480</v>
      </c>
      <c r="G11" s="22">
        <v>0.8</v>
      </c>
      <c r="H11" s="21" t="s">
        <v>153</v>
      </c>
    </row>
    <row r="12" spans="1:8" ht="15" customHeight="1" x14ac:dyDescent="0.3">
      <c r="B12" s="21" t="s">
        <v>154</v>
      </c>
      <c r="C12" s="21" t="s">
        <v>155</v>
      </c>
      <c r="D12" s="21" t="s">
        <v>59</v>
      </c>
      <c r="E12" s="21">
        <v>2500</v>
      </c>
      <c r="F12" s="21">
        <v>290</v>
      </c>
      <c r="G12" s="22">
        <v>0.82</v>
      </c>
      <c r="H12" s="21" t="s">
        <v>156</v>
      </c>
    </row>
    <row r="13" spans="1:8" ht="15" customHeight="1" x14ac:dyDescent="0.3">
      <c r="B13" s="21" t="s">
        <v>157</v>
      </c>
      <c r="C13" s="21" t="s">
        <v>158</v>
      </c>
      <c r="D13" s="21" t="s">
        <v>56</v>
      </c>
      <c r="E13" s="21">
        <v>2000</v>
      </c>
      <c r="F13" s="21">
        <v>180</v>
      </c>
      <c r="G13" s="22">
        <v>0.81499999999999995</v>
      </c>
      <c r="H13" s="21" t="s">
        <v>159</v>
      </c>
    </row>
    <row r="14" spans="1:8" ht="15" customHeight="1" x14ac:dyDescent="0.3">
      <c r="B14" s="21" t="s">
        <v>160</v>
      </c>
      <c r="C14" s="21" t="s">
        <v>161</v>
      </c>
      <c r="D14" s="21" t="s">
        <v>56</v>
      </c>
      <c r="E14" s="21">
        <v>1500</v>
      </c>
      <c r="F14" s="21">
        <v>120</v>
      </c>
      <c r="G14" s="22">
        <v>0.79</v>
      </c>
      <c r="H14" s="21" t="s">
        <v>162</v>
      </c>
    </row>
    <row r="15" spans="1:8" ht="15" customHeight="1" x14ac:dyDescent="0.3">
      <c r="B15" s="21" t="s">
        <v>163</v>
      </c>
      <c r="C15" s="21" t="s">
        <v>164</v>
      </c>
      <c r="D15" s="21" t="s">
        <v>56</v>
      </c>
      <c r="E15" s="21">
        <v>1000</v>
      </c>
      <c r="F15" s="21">
        <v>90</v>
      </c>
      <c r="G15" s="22">
        <v>0.78500000000000003</v>
      </c>
      <c r="H15" s="21" t="s">
        <v>165</v>
      </c>
    </row>
    <row r="16" spans="1:8" ht="15" customHeight="1" x14ac:dyDescent="0.3">
      <c r="B16" s="21" t="s">
        <v>166</v>
      </c>
      <c r="C16" s="21" t="s">
        <v>167</v>
      </c>
      <c r="D16" s="21" t="s">
        <v>168</v>
      </c>
      <c r="E16" s="21">
        <v>4500</v>
      </c>
      <c r="F16" s="21">
        <v>1810</v>
      </c>
      <c r="G16" s="22">
        <v>0.8</v>
      </c>
      <c r="H16" s="21" t="s">
        <v>168</v>
      </c>
    </row>
    <row r="17" spans="2:8" ht="15" customHeight="1" x14ac:dyDescent="0.3">
      <c r="B17" s="23"/>
      <c r="C17" s="23"/>
      <c r="D17" s="23"/>
      <c r="E17" s="23"/>
      <c r="F17" s="23"/>
      <c r="G17" s="24"/>
      <c r="H17" s="23"/>
    </row>
    <row r="18" spans="2:8" ht="15" customHeight="1" x14ac:dyDescent="0.3">
      <c r="B18" s="23"/>
      <c r="C18" s="23"/>
      <c r="D18" s="23"/>
      <c r="E18" s="23"/>
      <c r="F18" s="23"/>
      <c r="G18" s="24"/>
      <c r="H18" s="23"/>
    </row>
    <row r="19" spans="2:8" ht="15" customHeight="1" x14ac:dyDescent="0.3">
      <c r="B19" s="23"/>
      <c r="C19" s="23"/>
      <c r="D19" s="23"/>
      <c r="E19" s="23"/>
      <c r="F19" s="23"/>
      <c r="G19" s="24"/>
      <c r="H19" s="23"/>
    </row>
    <row r="20" spans="2:8" ht="15" customHeight="1" x14ac:dyDescent="0.3">
      <c r="B20" s="23"/>
      <c r="C20" s="23"/>
      <c r="D20" s="23"/>
      <c r="E20" s="23"/>
      <c r="F20" s="23"/>
      <c r="G20" s="24"/>
      <c r="H20" s="23"/>
    </row>
    <row r="21" spans="2:8" ht="15" customHeight="1" x14ac:dyDescent="0.3">
      <c r="B21" s="23"/>
      <c r="C21" s="23"/>
      <c r="D21" s="23"/>
      <c r="E21" s="23"/>
      <c r="F21" s="23"/>
      <c r="G21" s="24"/>
      <c r="H21" s="23"/>
    </row>
    <row r="22" spans="2:8" ht="15" customHeight="1" x14ac:dyDescent="0.3">
      <c r="B22" s="23"/>
      <c r="C22" s="23"/>
      <c r="D22" s="23"/>
      <c r="E22" s="23"/>
      <c r="F22" s="23"/>
      <c r="G22" s="24"/>
      <c r="H22" s="23"/>
    </row>
    <row r="23" spans="2:8" ht="15" customHeight="1" x14ac:dyDescent="0.3">
      <c r="B23" s="23"/>
      <c r="C23" s="23"/>
      <c r="D23" s="23"/>
      <c r="E23" s="23"/>
      <c r="F23" s="23"/>
      <c r="G23" s="24"/>
      <c r="H23" s="23"/>
    </row>
    <row r="24" spans="2:8" ht="15" customHeight="1" x14ac:dyDescent="0.3">
      <c r="B24" s="23"/>
      <c r="C24" s="23"/>
      <c r="D24" s="23"/>
      <c r="E24" s="23"/>
      <c r="F24" s="23"/>
      <c r="G24" s="24"/>
      <c r="H24" s="23"/>
    </row>
    <row r="25" spans="2:8" ht="15" customHeight="1" x14ac:dyDescent="0.3">
      <c r="B25" s="23"/>
      <c r="C25" s="23"/>
      <c r="D25" s="23"/>
      <c r="E25" s="23"/>
      <c r="F25" s="23"/>
      <c r="G25" s="24"/>
      <c r="H25" s="23"/>
    </row>
    <row r="26" spans="2:8" ht="15" customHeight="1" x14ac:dyDescent="0.3">
      <c r="B26" s="23"/>
      <c r="C26" s="23"/>
      <c r="D26" s="23"/>
      <c r="E26" s="23"/>
      <c r="F26" s="23"/>
      <c r="G26" s="24"/>
      <c r="H26" s="23"/>
    </row>
    <row r="28" spans="2:8" ht="15" customHeight="1" x14ac:dyDescent="0.3">
      <c r="B28" s="17" t="s">
        <v>88</v>
      </c>
      <c r="D28" s="17"/>
      <c r="E28" s="17">
        <f>SUM(E6:E26)</f>
        <v>138000</v>
      </c>
      <c r="F28" s="25">
        <f>SUM(F6:F26)</f>
        <v>21760</v>
      </c>
      <c r="G28" s="26">
        <f>IFERROR(AVERAGE(G6:G26),0)</f>
        <v>0.83472727272727276</v>
      </c>
    </row>
  </sheetData>
  <mergeCells count="2">
    <mergeCell ref="A2:G2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33"/>
  <sheetViews>
    <sheetView showGridLines="0" tabSelected="1" zoomScaleNormal="100" workbookViewId="0">
      <pane xSplit="2" ySplit="6" topLeftCell="C10" activePane="bottomRight" state="frozen"/>
      <selection pane="topRight" activeCell="C1" sqref="C1"/>
      <selection pane="bottomLeft" activeCell="A7" sqref="A7"/>
      <selection pane="bottomRight"/>
    </sheetView>
  </sheetViews>
  <sheetFormatPr defaultColWidth="8.6640625" defaultRowHeight="14.4" x14ac:dyDescent="0.3"/>
  <cols>
    <col min="1" max="1" width="3" customWidth="1"/>
    <col min="2" max="2" width="26" customWidth="1"/>
    <col min="3" max="3" width="20" customWidth="1"/>
    <col min="4" max="4" width="18" customWidth="1"/>
    <col min="5" max="5" width="16" customWidth="1"/>
    <col min="6" max="6" width="18" customWidth="1"/>
    <col min="7" max="7" width="22" customWidth="1"/>
    <col min="8" max="8" width="18" customWidth="1"/>
    <col min="9" max="9" width="28" customWidth="1"/>
  </cols>
  <sheetData>
    <row r="2" spans="1:9" ht="25.5" customHeight="1" x14ac:dyDescent="0.3">
      <c r="A2" s="8" t="s">
        <v>169</v>
      </c>
      <c r="B2" s="8"/>
      <c r="C2" s="8"/>
      <c r="D2" s="8"/>
      <c r="E2" s="8"/>
      <c r="F2" s="8"/>
      <c r="G2" s="8"/>
      <c r="H2" s="8"/>
    </row>
    <row r="3" spans="1:9" ht="15" customHeight="1" x14ac:dyDescent="0.3">
      <c r="B3" s="7" t="s">
        <v>170</v>
      </c>
      <c r="C3" s="7"/>
      <c r="D3" s="7"/>
      <c r="E3" s="7"/>
      <c r="F3" s="7"/>
      <c r="G3" s="7"/>
      <c r="H3" s="7"/>
      <c r="I3" s="7"/>
    </row>
    <row r="5" spans="1:9" ht="31.5" customHeight="1" x14ac:dyDescent="0.3">
      <c r="B5" s="9" t="s">
        <v>171</v>
      </c>
      <c r="C5" s="9" t="s">
        <v>172</v>
      </c>
      <c r="D5" s="9" t="s">
        <v>173</v>
      </c>
      <c r="E5" s="9" t="s">
        <v>174</v>
      </c>
      <c r="F5" s="9" t="s">
        <v>175</v>
      </c>
      <c r="G5" s="9" t="s">
        <v>176</v>
      </c>
      <c r="H5" s="9" t="s">
        <v>177</v>
      </c>
      <c r="I5" s="9" t="s">
        <v>96</v>
      </c>
    </row>
    <row r="6" spans="1:9" ht="15" customHeight="1" x14ac:dyDescent="0.3">
      <c r="B6" s="21" t="s">
        <v>178</v>
      </c>
      <c r="C6" s="21" t="s">
        <v>179</v>
      </c>
      <c r="D6" s="21" t="s">
        <v>180</v>
      </c>
      <c r="E6" s="21" t="s">
        <v>181</v>
      </c>
      <c r="F6" s="21" t="s">
        <v>181</v>
      </c>
      <c r="G6" s="21" t="s">
        <v>182</v>
      </c>
      <c r="H6" s="21" t="s">
        <v>183</v>
      </c>
      <c r="I6" s="21" t="s">
        <v>184</v>
      </c>
    </row>
    <row r="7" spans="1:9" ht="15" customHeight="1" x14ac:dyDescent="0.3">
      <c r="B7" s="21" t="s">
        <v>185</v>
      </c>
      <c r="C7" s="21" t="s">
        <v>186</v>
      </c>
      <c r="D7" s="21" t="s">
        <v>180</v>
      </c>
      <c r="E7" s="21" t="s">
        <v>181</v>
      </c>
      <c r="F7" s="21" t="s">
        <v>181</v>
      </c>
      <c r="G7" s="21" t="s">
        <v>182</v>
      </c>
      <c r="H7" s="21" t="s">
        <v>183</v>
      </c>
      <c r="I7" s="21" t="s">
        <v>187</v>
      </c>
    </row>
    <row r="8" spans="1:9" ht="15" customHeight="1" x14ac:dyDescent="0.3">
      <c r="B8" s="21" t="s">
        <v>188</v>
      </c>
      <c r="C8" s="21" t="s">
        <v>189</v>
      </c>
      <c r="D8" s="21" t="s">
        <v>180</v>
      </c>
      <c r="E8" s="21" t="s">
        <v>181</v>
      </c>
      <c r="F8" s="21" t="s">
        <v>181</v>
      </c>
      <c r="G8" s="21" t="s">
        <v>182</v>
      </c>
      <c r="H8" s="21" t="s">
        <v>183</v>
      </c>
      <c r="I8" s="21" t="s">
        <v>190</v>
      </c>
    </row>
    <row r="9" spans="1:9" ht="15" customHeight="1" x14ac:dyDescent="0.3">
      <c r="B9" s="21" t="s">
        <v>191</v>
      </c>
      <c r="C9" s="21" t="s">
        <v>192</v>
      </c>
      <c r="D9" s="21" t="s">
        <v>180</v>
      </c>
      <c r="E9" s="21" t="s">
        <v>181</v>
      </c>
      <c r="F9" s="21" t="s">
        <v>181</v>
      </c>
      <c r="G9" s="21" t="s">
        <v>182</v>
      </c>
      <c r="H9" s="21" t="s">
        <v>183</v>
      </c>
      <c r="I9" s="21" t="s">
        <v>193</v>
      </c>
    </row>
    <row r="10" spans="1:9" ht="15" customHeight="1" x14ac:dyDescent="0.3">
      <c r="B10" s="21" t="s">
        <v>194</v>
      </c>
      <c r="C10" s="21" t="s">
        <v>195</v>
      </c>
      <c r="D10" s="21" t="s">
        <v>196</v>
      </c>
      <c r="E10" s="21" t="s">
        <v>181</v>
      </c>
      <c r="F10" s="21" t="s">
        <v>181</v>
      </c>
      <c r="G10" s="21" t="s">
        <v>181</v>
      </c>
      <c r="H10" s="21" t="s">
        <v>197</v>
      </c>
      <c r="I10" s="21" t="s">
        <v>198</v>
      </c>
    </row>
    <row r="11" spans="1:9" ht="15" customHeight="1" x14ac:dyDescent="0.3">
      <c r="B11" s="21" t="s">
        <v>199</v>
      </c>
      <c r="C11" s="21" t="s">
        <v>200</v>
      </c>
      <c r="D11" s="21" t="s">
        <v>180</v>
      </c>
      <c r="E11" s="21" t="s">
        <v>181</v>
      </c>
      <c r="F11" s="21" t="s">
        <v>181</v>
      </c>
      <c r="G11" s="21" t="s">
        <v>182</v>
      </c>
      <c r="H11" s="21" t="s">
        <v>183</v>
      </c>
      <c r="I11" s="21" t="s">
        <v>201</v>
      </c>
    </row>
    <row r="12" spans="1:9" ht="15" customHeight="1" x14ac:dyDescent="0.3">
      <c r="B12" s="21" t="s">
        <v>202</v>
      </c>
      <c r="C12" s="21" t="s">
        <v>203</v>
      </c>
      <c r="D12" s="21" t="s">
        <v>196</v>
      </c>
      <c r="E12" s="21" t="s">
        <v>181</v>
      </c>
      <c r="F12" s="21" t="s">
        <v>181</v>
      </c>
      <c r="G12" s="21" t="s">
        <v>181</v>
      </c>
      <c r="H12" s="21" t="s">
        <v>181</v>
      </c>
      <c r="I12" s="21" t="s">
        <v>204</v>
      </c>
    </row>
    <row r="13" spans="1:9" ht="15" customHeight="1" x14ac:dyDescent="0.3">
      <c r="B13" s="21" t="s">
        <v>205</v>
      </c>
      <c r="C13" s="21" t="s">
        <v>206</v>
      </c>
      <c r="D13" s="21" t="s">
        <v>207</v>
      </c>
      <c r="E13" s="21" t="s">
        <v>181</v>
      </c>
      <c r="F13" s="21" t="s">
        <v>197</v>
      </c>
      <c r="G13" s="21" t="s">
        <v>182</v>
      </c>
      <c r="H13" s="21" t="s">
        <v>183</v>
      </c>
      <c r="I13" s="21" t="s">
        <v>208</v>
      </c>
    </row>
    <row r="14" spans="1:9" ht="15" customHeight="1" x14ac:dyDescent="0.3">
      <c r="B14" s="23"/>
      <c r="C14" s="23"/>
      <c r="D14" s="23"/>
      <c r="E14" s="23"/>
      <c r="F14" s="23"/>
      <c r="G14" s="23"/>
      <c r="H14" s="23"/>
      <c r="I14" s="23"/>
    </row>
    <row r="15" spans="1:9" ht="15" customHeight="1" x14ac:dyDescent="0.3">
      <c r="B15" s="23"/>
      <c r="C15" s="23"/>
      <c r="D15" s="23"/>
      <c r="E15" s="23"/>
      <c r="F15" s="23"/>
      <c r="G15" s="23"/>
      <c r="H15" s="23"/>
      <c r="I15" s="23"/>
    </row>
    <row r="16" spans="1:9" ht="15" customHeight="1" x14ac:dyDescent="0.3">
      <c r="B16" s="23"/>
      <c r="C16" s="23"/>
      <c r="D16" s="23"/>
      <c r="E16" s="23"/>
      <c r="F16" s="23"/>
      <c r="G16" s="23"/>
      <c r="H16" s="23"/>
      <c r="I16" s="23"/>
    </row>
    <row r="17" spans="2:9" ht="15" customHeight="1" x14ac:dyDescent="0.3">
      <c r="B17" s="23"/>
      <c r="C17" s="23"/>
      <c r="D17" s="23"/>
      <c r="E17" s="23"/>
      <c r="F17" s="23"/>
      <c r="G17" s="23"/>
      <c r="H17" s="23"/>
      <c r="I17" s="23"/>
    </row>
    <row r="18" spans="2:9" ht="15" customHeight="1" x14ac:dyDescent="0.3">
      <c r="B18" s="23"/>
      <c r="C18" s="23"/>
      <c r="D18" s="23"/>
      <c r="E18" s="23"/>
      <c r="F18" s="23"/>
      <c r="G18" s="23"/>
      <c r="H18" s="23"/>
      <c r="I18" s="23"/>
    </row>
    <row r="19" spans="2:9" ht="15" customHeight="1" x14ac:dyDescent="0.3">
      <c r="B19" s="23"/>
      <c r="C19" s="23"/>
      <c r="D19" s="23"/>
      <c r="E19" s="23"/>
      <c r="F19" s="23"/>
      <c r="G19" s="23"/>
      <c r="H19" s="23"/>
      <c r="I19" s="23"/>
    </row>
    <row r="20" spans="2:9" ht="15" customHeight="1" x14ac:dyDescent="0.3">
      <c r="B20" s="23"/>
      <c r="C20" s="23"/>
      <c r="D20" s="23"/>
      <c r="E20" s="23"/>
      <c r="F20" s="23"/>
      <c r="G20" s="23"/>
      <c r="H20" s="23"/>
      <c r="I20" s="23"/>
    </row>
    <row r="21" spans="2:9" ht="15" customHeight="1" x14ac:dyDescent="0.3">
      <c r="B21" s="23"/>
      <c r="C21" s="23"/>
      <c r="D21" s="23"/>
      <c r="E21" s="23"/>
      <c r="F21" s="23"/>
      <c r="G21" s="23"/>
      <c r="H21" s="23"/>
      <c r="I21" s="23"/>
    </row>
    <row r="22" spans="2:9" ht="15" customHeight="1" x14ac:dyDescent="0.3">
      <c r="B22" s="23"/>
      <c r="C22" s="23"/>
      <c r="D22" s="23"/>
      <c r="E22" s="23"/>
      <c r="F22" s="23"/>
      <c r="G22" s="23"/>
      <c r="H22" s="23"/>
      <c r="I22" s="23"/>
    </row>
    <row r="23" spans="2:9" ht="15" customHeight="1" x14ac:dyDescent="0.3">
      <c r="B23" s="23"/>
      <c r="C23" s="23"/>
      <c r="D23" s="23"/>
      <c r="E23" s="23"/>
      <c r="F23" s="23"/>
      <c r="G23" s="23"/>
      <c r="H23" s="23"/>
      <c r="I23" s="23"/>
    </row>
    <row r="24" spans="2:9" ht="15" customHeight="1" x14ac:dyDescent="0.3">
      <c r="B24" s="23"/>
      <c r="C24" s="23"/>
      <c r="D24" s="23"/>
      <c r="E24" s="23"/>
      <c r="F24" s="23"/>
      <c r="G24" s="23"/>
      <c r="H24" s="23"/>
      <c r="I24" s="23"/>
    </row>
    <row r="25" spans="2:9" ht="15" customHeight="1" x14ac:dyDescent="0.3">
      <c r="B25" s="23"/>
      <c r="C25" s="23"/>
      <c r="D25" s="23"/>
      <c r="E25" s="23"/>
      <c r="F25" s="23"/>
      <c r="G25" s="23"/>
      <c r="H25" s="23"/>
      <c r="I25" s="23"/>
    </row>
    <row r="26" spans="2:9" ht="15" customHeight="1" x14ac:dyDescent="0.3">
      <c r="B26" s="23"/>
      <c r="C26" s="23"/>
      <c r="D26" s="23"/>
      <c r="E26" s="23"/>
      <c r="F26" s="23"/>
      <c r="G26" s="23"/>
      <c r="H26" s="23"/>
      <c r="I26" s="23"/>
    </row>
    <row r="28" spans="2:9" ht="15" customHeight="1" x14ac:dyDescent="0.3">
      <c r="B28" s="17" t="s">
        <v>180</v>
      </c>
      <c r="C28" s="17">
        <f>COUNTIF(D6:D26,"Compliant")</f>
        <v>5</v>
      </c>
    </row>
    <row r="29" spans="2:9" ht="15" customHeight="1" x14ac:dyDescent="0.3">
      <c r="B29" s="17" t="s">
        <v>209</v>
      </c>
      <c r="C29" s="17">
        <f>COUNTA(B6:B26)</f>
        <v>8</v>
      </c>
    </row>
    <row r="30" spans="2:9" ht="15" customHeight="1" x14ac:dyDescent="0.3">
      <c r="B30" s="17" t="s">
        <v>210</v>
      </c>
      <c r="C30" s="17">
        <f>COUNTIF(E6:E26,"Yes")</f>
        <v>8</v>
      </c>
    </row>
    <row r="31" spans="2:9" ht="15" customHeight="1" x14ac:dyDescent="0.3">
      <c r="B31" s="17" t="s">
        <v>211</v>
      </c>
      <c r="C31" s="17">
        <f>COUNTIF(F6:F26,"Yes")</f>
        <v>7</v>
      </c>
    </row>
    <row r="32" spans="2:9" ht="15" customHeight="1" x14ac:dyDescent="0.3">
      <c r="B32" s="17" t="s">
        <v>212</v>
      </c>
      <c r="C32" s="17">
        <f>COUNTIF(G6:G26,"Yes")</f>
        <v>2</v>
      </c>
    </row>
    <row r="33" spans="2:3" ht="15" customHeight="1" x14ac:dyDescent="0.3">
      <c r="B33" s="17" t="s">
        <v>213</v>
      </c>
      <c r="C33" s="17">
        <f>COUNTIF(H6:H26,"Yes")</f>
        <v>1</v>
      </c>
    </row>
  </sheetData>
  <mergeCells count="2">
    <mergeCell ref="A2:H2"/>
    <mergeCell ref="B3:I3"/>
  </mergeCells>
  <dataValidations count="2">
    <dataValidation type="list" allowBlank="1" sqref="D7:D26" xr:uid="{00000000-0002-0000-0500-000000000000}">
      <formula1>"Compliant,Non-compliant,Under Review"</formula1>
      <formula2>0</formula2>
    </dataValidation>
    <dataValidation type="list" allowBlank="1" sqref="E7:H26" xr:uid="{00000000-0002-0000-0500-000001000000}">
      <formula1>"Yes,No,N/A"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31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8.6640625" defaultRowHeight="14.4" x14ac:dyDescent="0.3"/>
  <cols>
    <col min="1" max="1" width="3" customWidth="1"/>
    <col min="2" max="2" width="30" customWidth="1"/>
    <col min="3" max="3" width="16" customWidth="1"/>
    <col min="4" max="5" width="20" customWidth="1"/>
    <col min="6" max="6" width="22" customWidth="1"/>
    <col min="7" max="7" width="32" customWidth="1"/>
    <col min="8" max="8" width="24" customWidth="1"/>
  </cols>
  <sheetData>
    <row r="2" spans="1:8" ht="25.5" customHeight="1" x14ac:dyDescent="0.3">
      <c r="A2" s="8" t="s">
        <v>214</v>
      </c>
      <c r="B2" s="8"/>
      <c r="C2" s="8"/>
      <c r="D2" s="8"/>
      <c r="E2" s="8"/>
      <c r="F2" s="8"/>
      <c r="G2" s="8"/>
    </row>
    <row r="3" spans="1:8" ht="15" customHeight="1" x14ac:dyDescent="0.3">
      <c r="B3" s="7" t="s">
        <v>215</v>
      </c>
      <c r="C3" s="7"/>
      <c r="D3" s="7"/>
      <c r="E3" s="7"/>
      <c r="F3" s="7"/>
      <c r="G3" s="7"/>
      <c r="H3" s="7"/>
    </row>
    <row r="5" spans="1:8" ht="31.5" customHeight="1" x14ac:dyDescent="0.3">
      <c r="B5" s="9" t="s">
        <v>216</v>
      </c>
      <c r="C5" s="9" t="s">
        <v>46</v>
      </c>
      <c r="D5" s="9" t="s">
        <v>217</v>
      </c>
      <c r="E5" s="9" t="s">
        <v>218</v>
      </c>
      <c r="F5" s="9" t="s">
        <v>219</v>
      </c>
      <c r="G5" s="9" t="s">
        <v>220</v>
      </c>
      <c r="H5" s="9" t="s">
        <v>96</v>
      </c>
    </row>
    <row r="6" spans="1:8" ht="34.5" customHeight="1" x14ac:dyDescent="0.3">
      <c r="B6" s="21" t="s">
        <v>221</v>
      </c>
      <c r="C6" s="21" t="s">
        <v>56</v>
      </c>
      <c r="D6" s="21" t="s">
        <v>222</v>
      </c>
      <c r="E6" s="21">
        <v>1200</v>
      </c>
      <c r="F6" s="21">
        <v>110</v>
      </c>
      <c r="G6" s="21" t="s">
        <v>223</v>
      </c>
      <c r="H6" s="21" t="s">
        <v>224</v>
      </c>
    </row>
    <row r="7" spans="1:8" ht="15" customHeight="1" x14ac:dyDescent="0.3">
      <c r="B7" s="21" t="s">
        <v>225</v>
      </c>
      <c r="C7" s="21" t="s">
        <v>56</v>
      </c>
      <c r="D7" s="21" t="s">
        <v>222</v>
      </c>
      <c r="E7" s="21">
        <v>950</v>
      </c>
      <c r="F7" s="21">
        <v>65</v>
      </c>
      <c r="G7" s="21" t="s">
        <v>226</v>
      </c>
      <c r="H7" s="21" t="s">
        <v>227</v>
      </c>
    </row>
    <row r="8" spans="1:8" ht="15" customHeight="1" x14ac:dyDescent="0.3">
      <c r="B8" s="21" t="s">
        <v>228</v>
      </c>
      <c r="C8" s="21" t="s">
        <v>56</v>
      </c>
      <c r="D8" s="21" t="s">
        <v>229</v>
      </c>
      <c r="E8" s="21">
        <v>600</v>
      </c>
      <c r="F8" s="21">
        <v>140</v>
      </c>
      <c r="G8" s="21" t="s">
        <v>230</v>
      </c>
      <c r="H8" s="21" t="s">
        <v>231</v>
      </c>
    </row>
    <row r="9" spans="1:8" ht="15" customHeight="1" x14ac:dyDescent="0.3">
      <c r="B9" s="21" t="s">
        <v>232</v>
      </c>
      <c r="C9" s="21" t="s">
        <v>58</v>
      </c>
      <c r="D9" s="21" t="s">
        <v>222</v>
      </c>
      <c r="E9" s="21">
        <v>450</v>
      </c>
      <c r="F9" s="21">
        <v>35</v>
      </c>
      <c r="G9" s="21" t="s">
        <v>233</v>
      </c>
      <c r="H9" s="21" t="s">
        <v>234</v>
      </c>
    </row>
    <row r="10" spans="1:8" ht="15" customHeight="1" x14ac:dyDescent="0.3">
      <c r="B10" s="21" t="s">
        <v>235</v>
      </c>
      <c r="C10" s="21" t="s">
        <v>72</v>
      </c>
      <c r="D10" s="21" t="s">
        <v>222</v>
      </c>
      <c r="E10" s="21">
        <v>350</v>
      </c>
      <c r="F10" s="21">
        <v>0</v>
      </c>
      <c r="G10" s="21" t="s">
        <v>236</v>
      </c>
      <c r="H10" s="21" t="s">
        <v>237</v>
      </c>
    </row>
    <row r="11" spans="1:8" ht="15" customHeight="1" x14ac:dyDescent="0.3">
      <c r="B11" s="21" t="s">
        <v>238</v>
      </c>
      <c r="C11" s="21" t="s">
        <v>59</v>
      </c>
      <c r="D11" s="21" t="s">
        <v>222</v>
      </c>
      <c r="E11" s="21">
        <v>250</v>
      </c>
      <c r="F11" s="21">
        <v>20</v>
      </c>
      <c r="G11" s="21" t="s">
        <v>239</v>
      </c>
      <c r="H11" s="21" t="s">
        <v>240</v>
      </c>
    </row>
    <row r="12" spans="1:8" ht="15" customHeight="1" x14ac:dyDescent="0.3">
      <c r="B12" s="23"/>
      <c r="C12" s="23"/>
      <c r="D12" s="23"/>
      <c r="E12" s="23"/>
      <c r="F12" s="23"/>
      <c r="G12" s="23"/>
      <c r="H12" s="23"/>
    </row>
    <row r="13" spans="1:8" ht="15" customHeight="1" x14ac:dyDescent="0.3">
      <c r="B13" s="23"/>
      <c r="C13" s="23"/>
      <c r="D13" s="23"/>
      <c r="E13" s="23"/>
      <c r="F13" s="23"/>
      <c r="G13" s="23"/>
      <c r="H13" s="23"/>
    </row>
    <row r="14" spans="1:8" ht="15" customHeight="1" x14ac:dyDescent="0.3">
      <c r="B14" s="23"/>
      <c r="C14" s="23"/>
      <c r="D14" s="23"/>
      <c r="E14" s="23"/>
      <c r="F14" s="23"/>
      <c r="G14" s="23"/>
      <c r="H14" s="23"/>
    </row>
    <row r="15" spans="1:8" ht="15" customHeight="1" x14ac:dyDescent="0.3">
      <c r="B15" s="23"/>
      <c r="C15" s="23"/>
      <c r="D15" s="23"/>
      <c r="E15" s="23"/>
      <c r="F15" s="23"/>
      <c r="G15" s="23"/>
      <c r="H15" s="23"/>
    </row>
    <row r="16" spans="1:8" ht="15" customHeight="1" x14ac:dyDescent="0.3">
      <c r="B16" s="23"/>
      <c r="C16" s="23"/>
      <c r="D16" s="23"/>
      <c r="E16" s="23"/>
      <c r="F16" s="23"/>
      <c r="G16" s="23"/>
      <c r="H16" s="23"/>
    </row>
    <row r="17" spans="2:8" ht="15" customHeight="1" x14ac:dyDescent="0.3">
      <c r="B17" s="23"/>
      <c r="C17" s="23"/>
      <c r="D17" s="23"/>
      <c r="E17" s="23"/>
      <c r="F17" s="23"/>
      <c r="G17" s="23"/>
      <c r="H17" s="23"/>
    </row>
    <row r="18" spans="2:8" ht="15" customHeight="1" x14ac:dyDescent="0.3">
      <c r="B18" s="23"/>
      <c r="C18" s="23"/>
      <c r="D18" s="23"/>
      <c r="E18" s="23"/>
      <c r="F18" s="23"/>
      <c r="G18" s="23"/>
      <c r="H18" s="23"/>
    </row>
    <row r="19" spans="2:8" ht="15" customHeight="1" x14ac:dyDescent="0.3">
      <c r="B19" s="23"/>
      <c r="C19" s="23"/>
      <c r="D19" s="23"/>
      <c r="E19" s="23"/>
      <c r="F19" s="23"/>
      <c r="G19" s="23"/>
      <c r="H19" s="23"/>
    </row>
    <row r="20" spans="2:8" ht="15" customHeight="1" x14ac:dyDescent="0.3">
      <c r="B20" s="23"/>
      <c r="C20" s="23"/>
      <c r="D20" s="23"/>
      <c r="E20" s="23"/>
      <c r="F20" s="23"/>
      <c r="G20" s="23"/>
      <c r="H20" s="23"/>
    </row>
    <row r="21" spans="2:8" ht="15" customHeight="1" x14ac:dyDescent="0.3">
      <c r="B21" s="23"/>
      <c r="C21" s="23"/>
      <c r="D21" s="23"/>
      <c r="E21" s="23"/>
      <c r="F21" s="23"/>
      <c r="G21" s="23"/>
      <c r="H21" s="23"/>
    </row>
    <row r="22" spans="2:8" ht="15" customHeight="1" x14ac:dyDescent="0.3">
      <c r="B22" s="23"/>
      <c r="C22" s="23"/>
      <c r="D22" s="23"/>
      <c r="E22" s="23"/>
      <c r="F22" s="23"/>
      <c r="G22" s="23"/>
      <c r="H22" s="23"/>
    </row>
    <row r="23" spans="2:8" ht="15" customHeight="1" x14ac:dyDescent="0.3">
      <c r="B23" s="23"/>
      <c r="C23" s="23"/>
      <c r="D23" s="23"/>
      <c r="E23" s="23"/>
      <c r="F23" s="23"/>
      <c r="G23" s="23"/>
      <c r="H23" s="23"/>
    </row>
    <row r="24" spans="2:8" ht="15" customHeight="1" x14ac:dyDescent="0.3">
      <c r="B24" s="23"/>
      <c r="C24" s="23"/>
      <c r="D24" s="23"/>
      <c r="E24" s="23"/>
      <c r="F24" s="23"/>
      <c r="G24" s="23"/>
      <c r="H24" s="23"/>
    </row>
    <row r="25" spans="2:8" ht="15" customHeight="1" x14ac:dyDescent="0.3">
      <c r="B25" s="23"/>
      <c r="C25" s="23"/>
      <c r="D25" s="23"/>
      <c r="E25" s="23"/>
      <c r="F25" s="23"/>
      <c r="G25" s="23"/>
      <c r="H25" s="23"/>
    </row>
    <row r="26" spans="2:8" ht="15" customHeight="1" x14ac:dyDescent="0.3">
      <c r="B26" s="23"/>
      <c r="C26" s="23"/>
      <c r="D26" s="23"/>
      <c r="E26" s="23"/>
      <c r="F26" s="23"/>
      <c r="G26" s="23"/>
      <c r="H26" s="23"/>
    </row>
    <row r="28" spans="2:8" ht="15" customHeight="1" x14ac:dyDescent="0.3">
      <c r="B28" s="17" t="s">
        <v>241</v>
      </c>
      <c r="C28" s="17">
        <f>COUNTA(B6:B26)</f>
        <v>6</v>
      </c>
    </row>
    <row r="29" spans="2:8" ht="15" customHeight="1" x14ac:dyDescent="0.3">
      <c r="B29" s="17" t="s">
        <v>242</v>
      </c>
      <c r="C29" s="17">
        <f>COUNTIF(D6:D26,"Formalized")+COUNTIF(D6:D26,"Remediated")</f>
        <v>0</v>
      </c>
    </row>
    <row r="30" spans="2:8" ht="15" customHeight="1" x14ac:dyDescent="0.3">
      <c r="B30" s="17" t="s">
        <v>243</v>
      </c>
      <c r="C30" s="17">
        <f>SUM(E6:E26)</f>
        <v>3800</v>
      </c>
    </row>
    <row r="31" spans="2:8" ht="15" customHeight="1" x14ac:dyDescent="0.3">
      <c r="B31" s="17" t="s">
        <v>244</v>
      </c>
      <c r="C31" s="17">
        <f>SUM(F6:F26)</f>
        <v>370</v>
      </c>
    </row>
  </sheetData>
  <mergeCells count="2">
    <mergeCell ref="A2:G2"/>
    <mergeCell ref="B3:H3"/>
  </mergeCells>
  <dataValidations count="1">
    <dataValidation type="list" allowBlank="1" sqref="D7:D26" xr:uid="{00000000-0002-0000-0600-000000000000}">
      <formula1>"Active (Not Formalized),Partially Formalized,Formalized,Remediated"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30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8.6640625" defaultRowHeight="14.4" x14ac:dyDescent="0.3"/>
  <cols>
    <col min="1" max="1" width="3" customWidth="1"/>
    <col min="2" max="2" width="28" customWidth="1"/>
    <col min="3" max="3" width="16" customWidth="1"/>
    <col min="4" max="4" width="18" customWidth="1"/>
    <col min="5" max="5" width="14" customWidth="1"/>
    <col min="6" max="6" width="22" customWidth="1"/>
    <col min="7" max="7" width="20" customWidth="1"/>
    <col min="8" max="8" width="18" customWidth="1"/>
    <col min="9" max="9" width="30" customWidth="1"/>
  </cols>
  <sheetData>
    <row r="2" spans="1:9" ht="25.5" customHeight="1" x14ac:dyDescent="0.3">
      <c r="A2" s="8" t="s">
        <v>245</v>
      </c>
      <c r="B2" s="8"/>
      <c r="C2" s="8"/>
      <c r="D2" s="8"/>
      <c r="E2" s="8"/>
      <c r="F2" s="8"/>
      <c r="G2" s="8"/>
      <c r="H2" s="8"/>
    </row>
    <row r="3" spans="1:9" ht="15" customHeight="1" x14ac:dyDescent="0.3">
      <c r="B3" s="7" t="s">
        <v>246</v>
      </c>
      <c r="C3" s="7"/>
      <c r="D3" s="7"/>
      <c r="E3" s="7"/>
      <c r="F3" s="7"/>
      <c r="G3" s="7"/>
      <c r="H3" s="7"/>
      <c r="I3" s="7"/>
    </row>
    <row r="5" spans="1:9" ht="31.5" customHeight="1" x14ac:dyDescent="0.3">
      <c r="B5" s="9" t="s">
        <v>247</v>
      </c>
      <c r="C5" s="9" t="s">
        <v>46</v>
      </c>
      <c r="D5" s="9" t="s">
        <v>248</v>
      </c>
      <c r="E5" s="9" t="s">
        <v>249</v>
      </c>
      <c r="F5" s="9" t="s">
        <v>250</v>
      </c>
      <c r="G5" s="9" t="s">
        <v>251</v>
      </c>
      <c r="H5" s="9" t="s">
        <v>252</v>
      </c>
      <c r="I5" s="9" t="s">
        <v>96</v>
      </c>
    </row>
    <row r="6" spans="1:9" ht="23.25" customHeight="1" x14ac:dyDescent="0.3">
      <c r="B6" s="21" t="s">
        <v>253</v>
      </c>
      <c r="C6" s="21" t="s">
        <v>56</v>
      </c>
      <c r="D6" s="21" t="s">
        <v>254</v>
      </c>
      <c r="E6" s="21" t="s">
        <v>255</v>
      </c>
      <c r="F6" s="21" t="s">
        <v>256</v>
      </c>
      <c r="G6" s="21" t="s">
        <v>181</v>
      </c>
      <c r="H6" s="21">
        <v>420</v>
      </c>
      <c r="I6" s="21" t="s">
        <v>257</v>
      </c>
    </row>
    <row r="7" spans="1:9" ht="15" customHeight="1" x14ac:dyDescent="0.3">
      <c r="B7" s="21" t="s">
        <v>258</v>
      </c>
      <c r="C7" s="21" t="s">
        <v>56</v>
      </c>
      <c r="D7" s="21" t="s">
        <v>259</v>
      </c>
      <c r="E7" s="21" t="s">
        <v>260</v>
      </c>
      <c r="F7" s="21" t="s">
        <v>261</v>
      </c>
      <c r="G7" s="21" t="s">
        <v>181</v>
      </c>
      <c r="H7" s="21">
        <v>380</v>
      </c>
      <c r="I7" s="21" t="s">
        <v>262</v>
      </c>
    </row>
    <row r="8" spans="1:9" ht="15" customHeight="1" x14ac:dyDescent="0.3">
      <c r="B8" s="21" t="s">
        <v>263</v>
      </c>
      <c r="C8" s="21" t="s">
        <v>60</v>
      </c>
      <c r="D8" s="21" t="s">
        <v>264</v>
      </c>
      <c r="E8" s="21" t="s">
        <v>265</v>
      </c>
      <c r="F8" s="21" t="s">
        <v>266</v>
      </c>
      <c r="G8" s="21" t="s">
        <v>181</v>
      </c>
      <c r="H8" s="21">
        <v>210</v>
      </c>
      <c r="I8" s="21" t="s">
        <v>267</v>
      </c>
    </row>
    <row r="9" spans="1:9" ht="15" customHeight="1" x14ac:dyDescent="0.3">
      <c r="B9" s="21" t="s">
        <v>268</v>
      </c>
      <c r="C9" s="21" t="s">
        <v>61</v>
      </c>
      <c r="D9" s="21" t="s">
        <v>269</v>
      </c>
      <c r="E9" s="21" t="s">
        <v>270</v>
      </c>
      <c r="F9" s="21" t="s">
        <v>266</v>
      </c>
      <c r="G9" s="21" t="s">
        <v>182</v>
      </c>
      <c r="H9" s="21">
        <v>0</v>
      </c>
      <c r="I9" s="21" t="s">
        <v>271</v>
      </c>
    </row>
    <row r="10" spans="1:9" ht="15" customHeight="1" x14ac:dyDescent="0.3">
      <c r="B10" s="21" t="s">
        <v>272</v>
      </c>
      <c r="C10" s="21" t="s">
        <v>58</v>
      </c>
      <c r="D10" s="21" t="s">
        <v>273</v>
      </c>
      <c r="E10" s="21" t="s">
        <v>274</v>
      </c>
      <c r="F10" s="21" t="s">
        <v>275</v>
      </c>
      <c r="G10" s="21" t="s">
        <v>181</v>
      </c>
      <c r="H10" s="21">
        <v>150</v>
      </c>
      <c r="I10" s="21" t="s">
        <v>276</v>
      </c>
    </row>
    <row r="11" spans="1:9" ht="15" customHeight="1" x14ac:dyDescent="0.3">
      <c r="B11" s="21" t="s">
        <v>277</v>
      </c>
      <c r="C11" s="21" t="s">
        <v>59</v>
      </c>
      <c r="D11" s="21" t="s">
        <v>269</v>
      </c>
      <c r="E11" s="21" t="s">
        <v>278</v>
      </c>
      <c r="F11" s="21" t="s">
        <v>279</v>
      </c>
      <c r="G11" s="21" t="s">
        <v>182</v>
      </c>
      <c r="H11" s="21">
        <v>0</v>
      </c>
      <c r="I11" s="21" t="s">
        <v>280</v>
      </c>
    </row>
    <row r="12" spans="1:9" ht="15" customHeight="1" x14ac:dyDescent="0.3">
      <c r="B12" s="23"/>
      <c r="C12" s="23"/>
      <c r="D12" s="23"/>
      <c r="E12" s="23"/>
      <c r="F12" s="23"/>
      <c r="G12" s="23"/>
      <c r="H12" s="23"/>
      <c r="I12" s="23"/>
    </row>
    <row r="13" spans="1:9" ht="15" customHeight="1" x14ac:dyDescent="0.3">
      <c r="B13" s="23"/>
      <c r="C13" s="23"/>
      <c r="D13" s="23"/>
      <c r="E13" s="23"/>
      <c r="F13" s="23"/>
      <c r="G13" s="23"/>
      <c r="H13" s="23"/>
      <c r="I13" s="23"/>
    </row>
    <row r="14" spans="1:9" ht="15" customHeight="1" x14ac:dyDescent="0.3">
      <c r="B14" s="23"/>
      <c r="C14" s="23"/>
      <c r="D14" s="23"/>
      <c r="E14" s="23"/>
      <c r="F14" s="23"/>
      <c r="G14" s="23"/>
      <c r="H14" s="23"/>
      <c r="I14" s="23"/>
    </row>
    <row r="15" spans="1:9" ht="15" customHeight="1" x14ac:dyDescent="0.3">
      <c r="B15" s="23"/>
      <c r="C15" s="23"/>
      <c r="D15" s="23"/>
      <c r="E15" s="23"/>
      <c r="F15" s="23"/>
      <c r="G15" s="23"/>
      <c r="H15" s="23"/>
      <c r="I15" s="23"/>
    </row>
    <row r="16" spans="1:9" ht="15" customHeight="1" x14ac:dyDescent="0.3">
      <c r="B16" s="23"/>
      <c r="C16" s="23"/>
      <c r="D16" s="23"/>
      <c r="E16" s="23"/>
      <c r="F16" s="23"/>
      <c r="G16" s="23"/>
      <c r="H16" s="23"/>
      <c r="I16" s="23"/>
    </row>
    <row r="17" spans="2:9" ht="15" customHeight="1" x14ac:dyDescent="0.3">
      <c r="B17" s="23"/>
      <c r="C17" s="23"/>
      <c r="D17" s="23"/>
      <c r="E17" s="23"/>
      <c r="F17" s="23"/>
      <c r="G17" s="23"/>
      <c r="H17" s="23"/>
      <c r="I17" s="23"/>
    </row>
    <row r="18" spans="2:9" ht="15" customHeight="1" x14ac:dyDescent="0.3">
      <c r="B18" s="23"/>
      <c r="C18" s="23"/>
      <c r="D18" s="23"/>
      <c r="E18" s="23"/>
      <c r="F18" s="23"/>
      <c r="G18" s="23"/>
      <c r="H18" s="23"/>
      <c r="I18" s="23"/>
    </row>
    <row r="19" spans="2:9" ht="15" customHeight="1" x14ac:dyDescent="0.3">
      <c r="B19" s="23"/>
      <c r="C19" s="23"/>
      <c r="D19" s="23"/>
      <c r="E19" s="23"/>
      <c r="F19" s="23"/>
      <c r="G19" s="23"/>
      <c r="H19" s="23"/>
      <c r="I19" s="23"/>
    </row>
    <row r="20" spans="2:9" ht="15" customHeight="1" x14ac:dyDescent="0.3">
      <c r="B20" s="23"/>
      <c r="C20" s="23"/>
      <c r="D20" s="23"/>
      <c r="E20" s="23"/>
      <c r="F20" s="23"/>
      <c r="G20" s="23"/>
      <c r="H20" s="23"/>
      <c r="I20" s="23"/>
    </row>
    <row r="21" spans="2:9" ht="15" customHeight="1" x14ac:dyDescent="0.3">
      <c r="B21" s="23"/>
      <c r="C21" s="23"/>
      <c r="D21" s="23"/>
      <c r="E21" s="23"/>
      <c r="F21" s="23"/>
      <c r="G21" s="23"/>
      <c r="H21" s="23"/>
      <c r="I21" s="23"/>
    </row>
    <row r="22" spans="2:9" ht="15" customHeight="1" x14ac:dyDescent="0.3">
      <c r="B22" s="23"/>
      <c r="C22" s="23"/>
      <c r="D22" s="23"/>
      <c r="E22" s="23"/>
      <c r="F22" s="23"/>
      <c r="G22" s="23"/>
      <c r="H22" s="23"/>
      <c r="I22" s="23"/>
    </row>
    <row r="23" spans="2:9" ht="15" customHeight="1" x14ac:dyDescent="0.3">
      <c r="B23" s="23"/>
      <c r="C23" s="23"/>
      <c r="D23" s="23"/>
      <c r="E23" s="23"/>
      <c r="F23" s="23"/>
      <c r="G23" s="23"/>
      <c r="H23" s="23"/>
      <c r="I23" s="23"/>
    </row>
    <row r="24" spans="2:9" ht="15" customHeight="1" x14ac:dyDescent="0.3">
      <c r="B24" s="23"/>
      <c r="C24" s="23"/>
      <c r="D24" s="23"/>
      <c r="E24" s="23"/>
      <c r="F24" s="23"/>
      <c r="G24" s="23"/>
      <c r="H24" s="23"/>
      <c r="I24" s="23"/>
    </row>
    <row r="25" spans="2:9" ht="15" customHeight="1" x14ac:dyDescent="0.3">
      <c r="B25" s="23"/>
      <c r="C25" s="23"/>
      <c r="D25" s="23"/>
      <c r="E25" s="23"/>
      <c r="F25" s="23"/>
      <c r="G25" s="23"/>
      <c r="H25" s="23"/>
      <c r="I25" s="23"/>
    </row>
    <row r="26" spans="2:9" ht="15" customHeight="1" x14ac:dyDescent="0.3">
      <c r="B26" s="23"/>
      <c r="C26" s="23"/>
      <c r="D26" s="23"/>
      <c r="E26" s="23"/>
      <c r="F26" s="23"/>
      <c r="G26" s="23"/>
      <c r="H26" s="23"/>
      <c r="I26" s="23"/>
    </row>
    <row r="28" spans="2:9" ht="15" customHeight="1" x14ac:dyDescent="0.3">
      <c r="B28" s="17" t="s">
        <v>281</v>
      </c>
      <c r="C28" s="17">
        <f>SUMPRODUCT((B6:B26&lt;&gt;"")/COUNTIF(B6:B26,B6:B26&amp;""))</f>
        <v>6</v>
      </c>
    </row>
    <row r="29" spans="2:9" ht="15" customHeight="1" x14ac:dyDescent="0.3">
      <c r="B29" s="17" t="s">
        <v>282</v>
      </c>
      <c r="C29" s="17">
        <f>COUNTIF(F6:F26,"Yes")</f>
        <v>0</v>
      </c>
    </row>
    <row r="30" spans="2:9" ht="15" customHeight="1" x14ac:dyDescent="0.3">
      <c r="B30" s="17" t="s">
        <v>283</v>
      </c>
      <c r="C30" s="17">
        <f>SUM(G6:G26)</f>
        <v>0</v>
      </c>
    </row>
  </sheetData>
  <mergeCells count="2">
    <mergeCell ref="A2:H2"/>
    <mergeCell ref="B3:I3"/>
  </mergeCells>
  <dataValidations count="3">
    <dataValidation type="list" allowBlank="1" sqref="D7:D26" xr:uid="{00000000-0002-0000-0700-000000000000}">
      <formula1>"Soil,Water,Air,Soil + Water,Soil + Water + Air"</formula1>
      <formula2>0</formula2>
    </dataValidation>
    <dataValidation type="list" allowBlank="1" sqref="E7:E26" xr:uid="{00000000-0002-0000-0700-000001000000}">
      <formula1>"Within Limit,Exceeds Limit,Pending Analysis"</formula1>
      <formula2>0</formula2>
    </dataValidation>
    <dataValidation type="list" allowBlank="1" sqref="F7:F26" xr:uid="{00000000-0002-0000-0700-000002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G30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8.6640625" defaultRowHeight="14.4" x14ac:dyDescent="0.3"/>
  <cols>
    <col min="1" max="1" width="3" customWidth="1"/>
    <col min="2" max="2" width="30" customWidth="1"/>
    <col min="3" max="4" width="16" customWidth="1"/>
    <col min="5" max="6" width="22" customWidth="1"/>
    <col min="7" max="7" width="20" customWidth="1"/>
  </cols>
  <sheetData>
    <row r="2" spans="1:7" ht="25.5" customHeight="1" x14ac:dyDescent="0.3">
      <c r="A2" s="8" t="s">
        <v>284</v>
      </c>
      <c r="B2" s="8"/>
      <c r="C2" s="8"/>
      <c r="D2" s="8"/>
      <c r="E2" s="8"/>
      <c r="F2" s="8"/>
    </row>
    <row r="3" spans="1:7" ht="15" customHeight="1" x14ac:dyDescent="0.3">
      <c r="B3" s="7" t="s">
        <v>285</v>
      </c>
      <c r="C3" s="7"/>
      <c r="D3" s="7"/>
      <c r="E3" s="7"/>
      <c r="F3" s="7"/>
      <c r="G3" s="7"/>
    </row>
    <row r="5" spans="1:7" ht="31.5" customHeight="1" x14ac:dyDescent="0.3">
      <c r="B5" s="9" t="s">
        <v>286</v>
      </c>
      <c r="C5" s="9" t="s">
        <v>46</v>
      </c>
      <c r="D5" s="9" t="s">
        <v>249</v>
      </c>
      <c r="E5" s="9" t="s">
        <v>287</v>
      </c>
      <c r="F5" s="9" t="s">
        <v>288</v>
      </c>
      <c r="G5" s="9" t="s">
        <v>289</v>
      </c>
    </row>
    <row r="6" spans="1:7" ht="15" customHeight="1" x14ac:dyDescent="0.3">
      <c r="B6" s="21" t="s">
        <v>290</v>
      </c>
      <c r="C6" s="21" t="s">
        <v>56</v>
      </c>
      <c r="D6" s="21" t="s">
        <v>291</v>
      </c>
      <c r="E6" s="21" t="s">
        <v>292</v>
      </c>
      <c r="F6" s="21" t="s">
        <v>293</v>
      </c>
      <c r="G6" s="21">
        <v>12500</v>
      </c>
    </row>
    <row r="7" spans="1:7" ht="15" customHeight="1" x14ac:dyDescent="0.3">
      <c r="B7" s="21" t="s">
        <v>294</v>
      </c>
      <c r="C7" s="21" t="s">
        <v>56</v>
      </c>
      <c r="D7" s="21" t="s">
        <v>295</v>
      </c>
      <c r="E7" s="21" t="s">
        <v>296</v>
      </c>
      <c r="F7" s="21" t="s">
        <v>297</v>
      </c>
      <c r="G7" s="21">
        <v>450</v>
      </c>
    </row>
    <row r="8" spans="1:7" ht="15" customHeight="1" x14ac:dyDescent="0.3">
      <c r="B8" s="21" t="s">
        <v>298</v>
      </c>
      <c r="C8" s="21" t="s">
        <v>56</v>
      </c>
      <c r="D8" s="21" t="s">
        <v>299</v>
      </c>
      <c r="E8" s="21" t="s">
        <v>300</v>
      </c>
      <c r="F8" s="21" t="s">
        <v>301</v>
      </c>
      <c r="G8" s="21">
        <v>18000</v>
      </c>
    </row>
    <row r="9" spans="1:7" ht="15" customHeight="1" x14ac:dyDescent="0.3">
      <c r="B9" s="21" t="s">
        <v>302</v>
      </c>
      <c r="C9" s="21" t="s">
        <v>59</v>
      </c>
      <c r="D9" s="21" t="s">
        <v>303</v>
      </c>
      <c r="E9" s="21" t="s">
        <v>304</v>
      </c>
      <c r="F9" s="21" t="s">
        <v>305</v>
      </c>
      <c r="G9" s="21">
        <v>3200</v>
      </c>
    </row>
    <row r="10" spans="1:7" ht="15" customHeight="1" x14ac:dyDescent="0.3">
      <c r="B10" s="21" t="s">
        <v>306</v>
      </c>
      <c r="C10" s="21" t="s">
        <v>60</v>
      </c>
      <c r="D10" s="21" t="s">
        <v>307</v>
      </c>
      <c r="E10" s="21" t="s">
        <v>308</v>
      </c>
      <c r="F10" s="21" t="s">
        <v>309</v>
      </c>
      <c r="G10" s="21">
        <v>1800</v>
      </c>
    </row>
    <row r="11" spans="1:7" ht="15" customHeight="1" x14ac:dyDescent="0.3">
      <c r="B11" s="21" t="s">
        <v>310</v>
      </c>
      <c r="C11" s="21" t="s">
        <v>72</v>
      </c>
      <c r="D11" s="21" t="s">
        <v>311</v>
      </c>
      <c r="E11" s="21" t="s">
        <v>312</v>
      </c>
      <c r="F11" s="21" t="s">
        <v>313</v>
      </c>
      <c r="G11" s="21">
        <v>350</v>
      </c>
    </row>
    <row r="12" spans="1:7" ht="15" customHeight="1" x14ac:dyDescent="0.3">
      <c r="B12" s="23"/>
      <c r="C12" s="23"/>
      <c r="D12" s="23"/>
      <c r="E12" s="23"/>
      <c r="F12" s="23"/>
      <c r="G12" s="23"/>
    </row>
    <row r="13" spans="1:7" ht="15" customHeight="1" x14ac:dyDescent="0.3">
      <c r="B13" s="23"/>
      <c r="C13" s="23"/>
      <c r="D13" s="23"/>
      <c r="E13" s="23"/>
      <c r="F13" s="23"/>
      <c r="G13" s="23"/>
    </row>
    <row r="14" spans="1:7" ht="15" customHeight="1" x14ac:dyDescent="0.3">
      <c r="B14" s="23"/>
      <c r="C14" s="23"/>
      <c r="D14" s="23"/>
      <c r="E14" s="23"/>
      <c r="F14" s="23"/>
      <c r="G14" s="23"/>
    </row>
    <row r="15" spans="1:7" ht="15" customHeight="1" x14ac:dyDescent="0.3">
      <c r="B15" s="23"/>
      <c r="C15" s="23"/>
      <c r="D15" s="23"/>
      <c r="E15" s="23"/>
      <c r="F15" s="23"/>
      <c r="G15" s="23"/>
    </row>
    <row r="16" spans="1:7" ht="15" customHeight="1" x14ac:dyDescent="0.3">
      <c r="B16" s="23"/>
      <c r="C16" s="23"/>
      <c r="D16" s="23"/>
      <c r="E16" s="23"/>
      <c r="F16" s="23"/>
      <c r="G16" s="23"/>
    </row>
    <row r="17" spans="2:7" ht="15" customHeight="1" x14ac:dyDescent="0.3">
      <c r="B17" s="23"/>
      <c r="C17" s="23"/>
      <c r="D17" s="23"/>
      <c r="E17" s="23"/>
      <c r="F17" s="23"/>
      <c r="G17" s="23"/>
    </row>
    <row r="18" spans="2:7" ht="15" customHeight="1" x14ac:dyDescent="0.3">
      <c r="B18" s="23"/>
      <c r="C18" s="23"/>
      <c r="D18" s="23"/>
      <c r="E18" s="23"/>
      <c r="F18" s="23"/>
      <c r="G18" s="23"/>
    </row>
    <row r="19" spans="2:7" ht="15" customHeight="1" x14ac:dyDescent="0.3">
      <c r="B19" s="23"/>
      <c r="C19" s="23"/>
      <c r="D19" s="23"/>
      <c r="E19" s="23"/>
      <c r="F19" s="23"/>
      <c r="G19" s="23"/>
    </row>
    <row r="20" spans="2:7" ht="15" customHeight="1" x14ac:dyDescent="0.3">
      <c r="B20" s="23"/>
      <c r="C20" s="23"/>
      <c r="D20" s="23"/>
      <c r="E20" s="23"/>
      <c r="F20" s="23"/>
      <c r="G20" s="23"/>
    </row>
    <row r="21" spans="2:7" ht="15" customHeight="1" x14ac:dyDescent="0.3">
      <c r="B21" s="23"/>
      <c r="C21" s="23"/>
      <c r="D21" s="23"/>
      <c r="E21" s="23"/>
      <c r="F21" s="23"/>
      <c r="G21" s="23"/>
    </row>
    <row r="22" spans="2:7" ht="15" customHeight="1" x14ac:dyDescent="0.3">
      <c r="B22" s="23"/>
      <c r="C22" s="23"/>
      <c r="D22" s="23"/>
      <c r="E22" s="23"/>
      <c r="F22" s="23"/>
      <c r="G22" s="23"/>
    </row>
    <row r="23" spans="2:7" ht="15" customHeight="1" x14ac:dyDescent="0.3">
      <c r="B23" s="23"/>
      <c r="C23" s="23"/>
      <c r="D23" s="23"/>
      <c r="E23" s="23"/>
      <c r="F23" s="23"/>
      <c r="G23" s="23"/>
    </row>
    <row r="24" spans="2:7" ht="15" customHeight="1" x14ac:dyDescent="0.3">
      <c r="B24" s="23"/>
      <c r="C24" s="23"/>
      <c r="D24" s="23"/>
      <c r="E24" s="23"/>
      <c r="F24" s="23"/>
      <c r="G24" s="23"/>
    </row>
    <row r="25" spans="2:7" ht="15" customHeight="1" x14ac:dyDescent="0.3">
      <c r="B25" s="23"/>
      <c r="C25" s="23"/>
      <c r="D25" s="23"/>
      <c r="E25" s="23"/>
      <c r="F25" s="23"/>
      <c r="G25" s="23"/>
    </row>
    <row r="26" spans="2:7" ht="15" customHeight="1" x14ac:dyDescent="0.3">
      <c r="B26" s="23"/>
      <c r="C26" s="23"/>
      <c r="D26" s="23"/>
      <c r="E26" s="23"/>
      <c r="F26" s="23"/>
      <c r="G26" s="23"/>
    </row>
    <row r="28" spans="2:7" ht="15" customHeight="1" x14ac:dyDescent="0.3">
      <c r="B28" s="17" t="s">
        <v>314</v>
      </c>
      <c r="C28" s="17">
        <f>COUNTA(B6:B26)</f>
        <v>6</v>
      </c>
    </row>
    <row r="29" spans="2:7" ht="15" customHeight="1" x14ac:dyDescent="0.3">
      <c r="B29" s="17" t="s">
        <v>315</v>
      </c>
      <c r="C29" s="17">
        <f>COUNTIF(D6:D26,"School Collection Drive")+COUNTIF(D6:D26,"RWA/Community Drive")</f>
        <v>0</v>
      </c>
    </row>
    <row r="30" spans="2:7" ht="15" customHeight="1" x14ac:dyDescent="0.3">
      <c r="B30" s="17" t="s">
        <v>316</v>
      </c>
      <c r="C30" s="17">
        <f>SUM(F6:F26)</f>
        <v>0</v>
      </c>
    </row>
  </sheetData>
  <mergeCells count="2">
    <mergeCell ref="A2:F2"/>
    <mergeCell ref="B3:G3"/>
  </mergeCells>
  <dataValidations count="1">
    <dataValidation type="list" allowBlank="1" sqref="D7:D26" xr:uid="{00000000-0002-0000-0800-000000000000}">
      <formula1>"Awareness Campaign,School Collection Drive,RWA/Community Drive,Industry Outreach,Media Campaign"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05BFBD7D7D0F459F2EB6DF2A577303" ma:contentTypeVersion="12" ma:contentTypeDescription="Create a new document." ma:contentTypeScope="" ma:versionID="8528867ffa347892931992dba061e8fc">
  <xsd:schema xmlns:xsd="http://www.w3.org/2001/XMLSchema" xmlns:xs="http://www.w3.org/2001/XMLSchema" xmlns:p="http://schemas.microsoft.com/office/2006/metadata/properties" xmlns:ns2="01a789ed-3b06-4a12-abcb-8250f314dd0b" xmlns:ns3="44678d20-5b6e-4792-b133-ca784477d689" targetNamespace="http://schemas.microsoft.com/office/2006/metadata/properties" ma:root="true" ma:fieldsID="3a6a2aa65aa1b5a2272dcd5b5e15d211" ns2:_="" ns3:_="">
    <xsd:import namespace="01a789ed-3b06-4a12-abcb-8250f314dd0b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a789ed-3b06-4a12-abcb-8250f314dd0b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9a17da5-126c-488b-b448-998f78a263bb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1a789ed-3b06-4a12-abcb-8250f314dd0b" xsi:nil="true"/>
    <lcf76f155ced4ddcb4097134ff3c332f xmlns="01a789ed-3b06-4a12-abcb-8250f314dd0b">
      <Terms xmlns="http://schemas.microsoft.com/office/infopath/2007/PartnerControls"/>
    </lcf76f155ced4ddcb4097134ff3c332f>
    <TaxCatchAll xmlns="44678d20-5b6e-4792-b133-ca784477d689" xsi:nil="true"/>
  </documentManagement>
</p:properties>
</file>

<file path=customXml/itemProps1.xml><?xml version="1.0" encoding="utf-8"?>
<ds:datastoreItem xmlns:ds="http://schemas.openxmlformats.org/officeDocument/2006/customXml" ds:itemID="{E7AB9E55-09D8-44B5-9BEC-1350E157BA1A}"/>
</file>

<file path=customXml/itemProps2.xml><?xml version="1.0" encoding="utf-8"?>
<ds:datastoreItem xmlns:ds="http://schemas.openxmlformats.org/officeDocument/2006/customXml" ds:itemID="{5B1CAB86-06E4-4277-A71F-BE2E72C578C7}"/>
</file>

<file path=customXml/itemProps3.xml><?xml version="1.0" encoding="utf-8"?>
<ds:datastoreItem xmlns:ds="http://schemas.openxmlformats.org/officeDocument/2006/customXml" ds:itemID="{8958118C-F603-4331-A5E0-95F6C7F658A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0_Scorecard</vt:lpstr>
      <vt:lpstr>Instructions</vt:lpstr>
      <vt:lpstr>1_Generation_Inventory</vt:lpstr>
      <vt:lpstr>2_Collection_Log</vt:lpstr>
      <vt:lpstr>3_Recycling_Infrastructure</vt:lpstr>
      <vt:lpstr>4_Compliance_Tracker</vt:lpstr>
      <vt:lpstr>5_Informal_Sector_Hotspots</vt:lpstr>
      <vt:lpstr>6_Env_Health_Monitoring</vt:lpstr>
      <vt:lpstr>7_Awareness_Programs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Mundada</dc:creator>
  <cp:lastModifiedBy>Arnav Mundada</cp:lastModifiedBy>
  <dcterms:created xsi:type="dcterms:W3CDTF">2026-08-01T07:38:27Z</dcterms:created>
  <dcterms:modified xsi:type="dcterms:W3CDTF">2026-08-01T07:38:27Z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2026-07-16T04:20:02Z</dcterms:created>
  <dc:creator>openpyxl</dc:creator>
  <dc:description/>
  <dc:language>en-US</dc:language>
  <cp:lastModifiedBy/>
  <dcterms:modified xsi:type="dcterms:W3CDTF">2026-08-01T07:27:46Z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0x0101003705BFBD7D7D0F459F2EB6DF2A577303</vt:lpwstr>
  </property>
</Properties>
</file>